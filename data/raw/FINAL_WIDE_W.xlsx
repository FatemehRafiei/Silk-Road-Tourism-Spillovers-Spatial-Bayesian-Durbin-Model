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0CF2E3B-C16B-4126-80AF-5A133BAF9739}" xr6:coauthVersionLast="47" xr6:coauthVersionMax="47" xr10:uidLastSave="{00000000-0000-0000-0000-000000000000}"/>
  <bookViews>
    <workbookView xWindow="-108" yWindow="-108" windowWidth="23256" windowHeight="12576" xr2:uid="{6B040328-B05A-484B-B3CF-12D6DF943BFB}"/>
  </bookViews>
  <sheets>
    <sheet name="data_wide_f" sheetId="6" r:id="rId1"/>
    <sheet name="data_ln" sheetId="2" r:id="rId2"/>
    <sheet name="raw" sheetId="1" r:id="rId3"/>
    <sheet name="Rule of Law" sheetId="10" r:id="rId4"/>
  </sheets>
  <definedNames>
    <definedName name="_xlnm._FilterDatabase" localSheetId="1" hidden="1">data_ln!$A$1:$U$55</definedName>
    <definedName name="_xlnm._FilterDatabase" localSheetId="0" hidden="1">data_wide_f!$A$1:$G$199</definedName>
    <definedName name="_xlnm._FilterDatabase" localSheetId="2" hidden="1">raw!$A$1:$X$56</definedName>
    <definedName name="_xlnm._FilterDatabase" localSheetId="3" hidden="1">'Rule of Law'!$A$4:$BQ$270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1" l="1"/>
  <c r="X10" i="1" s="1"/>
  <c r="B56" i="2"/>
  <c r="A56" i="2"/>
  <c r="B51" i="2"/>
  <c r="A51" i="2"/>
  <c r="B46" i="2"/>
  <c r="A46" i="2"/>
  <c r="B41" i="2"/>
  <c r="A41" i="2"/>
  <c r="B36" i="2"/>
  <c r="A36" i="2"/>
  <c r="B31" i="2"/>
  <c r="A31" i="2"/>
  <c r="B26" i="2"/>
  <c r="B21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D6" i="2"/>
  <c r="C6" i="2"/>
  <c r="B6" i="1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D48" i="2"/>
  <c r="E48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D27" i="2"/>
  <c r="D28" i="2"/>
  <c r="D30" i="2"/>
  <c r="D32" i="2"/>
  <c r="D33" i="2"/>
  <c r="D35" i="2"/>
  <c r="D37" i="2"/>
  <c r="D38" i="2"/>
  <c r="D40" i="2"/>
  <c r="D42" i="2"/>
  <c r="D43" i="2"/>
  <c r="D45" i="2"/>
  <c r="D47" i="2"/>
  <c r="D50" i="2"/>
  <c r="D52" i="2"/>
  <c r="D53" i="2"/>
  <c r="D55" i="2"/>
  <c r="D25" i="2"/>
  <c r="D23" i="2"/>
  <c r="D22" i="2"/>
  <c r="D20" i="2"/>
  <c r="D18" i="2"/>
  <c r="D17" i="2"/>
  <c r="D15" i="2"/>
  <c r="D13" i="2"/>
  <c r="D12" i="2"/>
  <c r="D10" i="2"/>
  <c r="D8" i="2"/>
  <c r="D7" i="2"/>
  <c r="D5" i="2"/>
  <c r="D3" i="2"/>
  <c r="D2" i="2"/>
  <c r="E56" i="1"/>
  <c r="E56" i="2" s="1"/>
  <c r="F56" i="1"/>
  <c r="F56" i="2" s="1"/>
  <c r="G56" i="1"/>
  <c r="G56" i="2" s="1"/>
  <c r="H56" i="1"/>
  <c r="H56" i="2" s="1"/>
  <c r="I56" i="1"/>
  <c r="I56" i="2" s="1"/>
  <c r="J56" i="1"/>
  <c r="J56" i="2" s="1"/>
  <c r="K56" i="1"/>
  <c r="K56" i="2" s="1"/>
  <c r="L56" i="1"/>
  <c r="L56" i="2" s="1"/>
  <c r="M56" i="1"/>
  <c r="M56" i="2" s="1"/>
  <c r="N56" i="1"/>
  <c r="N56" i="2" s="1"/>
  <c r="O56" i="1"/>
  <c r="O56" i="2" s="1"/>
  <c r="P56" i="1"/>
  <c r="P56" i="2" s="1"/>
  <c r="Q56" i="1"/>
  <c r="Q56" i="2" s="1"/>
  <c r="R56" i="1"/>
  <c r="R56" i="2" s="1"/>
  <c r="S56" i="1"/>
  <c r="S56" i="2" s="1"/>
  <c r="T56" i="1"/>
  <c r="T56" i="2" s="1"/>
  <c r="U56" i="1"/>
  <c r="U56" i="2" s="1"/>
  <c r="D56" i="1"/>
  <c r="D56" i="2" s="1"/>
  <c r="C56" i="1"/>
  <c r="C56" i="2" s="1"/>
  <c r="E51" i="1"/>
  <c r="E51" i="2" s="1"/>
  <c r="F51" i="1"/>
  <c r="F51" i="2" s="1"/>
  <c r="G51" i="1"/>
  <c r="G51" i="2" s="1"/>
  <c r="H51" i="1"/>
  <c r="H51" i="2" s="1"/>
  <c r="I51" i="1"/>
  <c r="I51" i="2" s="1"/>
  <c r="J51" i="1"/>
  <c r="J51" i="2" s="1"/>
  <c r="K51" i="1"/>
  <c r="K51" i="2" s="1"/>
  <c r="L51" i="1"/>
  <c r="L51" i="2" s="1"/>
  <c r="M51" i="1"/>
  <c r="M51" i="2" s="1"/>
  <c r="N51" i="1"/>
  <c r="N51" i="2" s="1"/>
  <c r="O51" i="1"/>
  <c r="O51" i="2" s="1"/>
  <c r="P51" i="1"/>
  <c r="P51" i="2" s="1"/>
  <c r="Q51" i="1"/>
  <c r="Q51" i="2" s="1"/>
  <c r="R51" i="1"/>
  <c r="R51" i="2" s="1"/>
  <c r="S51" i="1"/>
  <c r="S51" i="2" s="1"/>
  <c r="T51" i="1"/>
  <c r="T51" i="2" s="1"/>
  <c r="U51" i="1"/>
  <c r="U51" i="2" s="1"/>
  <c r="D51" i="1"/>
  <c r="D51" i="2" s="1"/>
  <c r="C51" i="1"/>
  <c r="C51" i="2" s="1"/>
  <c r="E46" i="1"/>
  <c r="E46" i="2" s="1"/>
  <c r="F46" i="1"/>
  <c r="F46" i="2" s="1"/>
  <c r="G46" i="1"/>
  <c r="G46" i="2" s="1"/>
  <c r="H46" i="1"/>
  <c r="H46" i="2" s="1"/>
  <c r="I46" i="1"/>
  <c r="I46" i="2" s="1"/>
  <c r="J46" i="1"/>
  <c r="J46" i="2" s="1"/>
  <c r="K46" i="1"/>
  <c r="K46" i="2" s="1"/>
  <c r="L46" i="1"/>
  <c r="L46" i="2" s="1"/>
  <c r="M46" i="1"/>
  <c r="M46" i="2" s="1"/>
  <c r="N46" i="1"/>
  <c r="N46" i="2" s="1"/>
  <c r="O46" i="1"/>
  <c r="O46" i="2" s="1"/>
  <c r="P46" i="1"/>
  <c r="P46" i="2" s="1"/>
  <c r="Q46" i="1"/>
  <c r="Q46" i="2" s="1"/>
  <c r="R46" i="1"/>
  <c r="R46" i="2" s="1"/>
  <c r="S46" i="1"/>
  <c r="S46" i="2" s="1"/>
  <c r="T46" i="1"/>
  <c r="T46" i="2" s="1"/>
  <c r="U46" i="1"/>
  <c r="U46" i="2" s="1"/>
  <c r="D46" i="1"/>
  <c r="D46" i="2" s="1"/>
  <c r="C46" i="1"/>
  <c r="C46" i="2" s="1"/>
  <c r="E41" i="1"/>
  <c r="E41" i="2" s="1"/>
  <c r="F41" i="1"/>
  <c r="F41" i="2" s="1"/>
  <c r="G41" i="1"/>
  <c r="G41" i="2" s="1"/>
  <c r="H41" i="1"/>
  <c r="H41" i="2" s="1"/>
  <c r="I41" i="1"/>
  <c r="I41" i="2" s="1"/>
  <c r="J41" i="1"/>
  <c r="J41" i="2" s="1"/>
  <c r="K41" i="1"/>
  <c r="K41" i="2" s="1"/>
  <c r="L41" i="1"/>
  <c r="L41" i="2" s="1"/>
  <c r="M41" i="1"/>
  <c r="M41" i="2" s="1"/>
  <c r="N41" i="1"/>
  <c r="N41" i="2" s="1"/>
  <c r="O41" i="1"/>
  <c r="O41" i="2" s="1"/>
  <c r="P41" i="1"/>
  <c r="P41" i="2" s="1"/>
  <c r="Q41" i="1"/>
  <c r="Q41" i="2" s="1"/>
  <c r="R41" i="1"/>
  <c r="R41" i="2" s="1"/>
  <c r="S41" i="1"/>
  <c r="S41" i="2" s="1"/>
  <c r="T41" i="1"/>
  <c r="T41" i="2" s="1"/>
  <c r="U41" i="1"/>
  <c r="U41" i="2" s="1"/>
  <c r="D41" i="1"/>
  <c r="D41" i="2" s="1"/>
  <c r="C41" i="1"/>
  <c r="C41" i="2" s="1"/>
  <c r="E36" i="1"/>
  <c r="E36" i="2" s="1"/>
  <c r="F36" i="1"/>
  <c r="F36" i="2" s="1"/>
  <c r="G36" i="1"/>
  <c r="G36" i="2" s="1"/>
  <c r="H36" i="1"/>
  <c r="H36" i="2" s="1"/>
  <c r="I36" i="1"/>
  <c r="I36" i="2" s="1"/>
  <c r="J36" i="1"/>
  <c r="J36" i="2" s="1"/>
  <c r="K36" i="1"/>
  <c r="K36" i="2" s="1"/>
  <c r="L36" i="1"/>
  <c r="L36" i="2" s="1"/>
  <c r="M36" i="1"/>
  <c r="M36" i="2" s="1"/>
  <c r="N36" i="1"/>
  <c r="N36" i="2" s="1"/>
  <c r="O36" i="1"/>
  <c r="O36" i="2" s="1"/>
  <c r="P36" i="1"/>
  <c r="P36" i="2" s="1"/>
  <c r="Q36" i="1"/>
  <c r="Q36" i="2" s="1"/>
  <c r="R36" i="1"/>
  <c r="R36" i="2" s="1"/>
  <c r="S36" i="1"/>
  <c r="S36" i="2" s="1"/>
  <c r="T36" i="1"/>
  <c r="T36" i="2" s="1"/>
  <c r="U36" i="1"/>
  <c r="U36" i="2" s="1"/>
  <c r="D36" i="1"/>
  <c r="D36" i="2" s="1"/>
  <c r="C36" i="1"/>
  <c r="C36" i="2" s="1"/>
  <c r="E31" i="1"/>
  <c r="E31" i="2" s="1"/>
  <c r="F31" i="1"/>
  <c r="F31" i="2" s="1"/>
  <c r="G31" i="1"/>
  <c r="G31" i="2" s="1"/>
  <c r="H31" i="1"/>
  <c r="H31" i="2" s="1"/>
  <c r="I31" i="1"/>
  <c r="I31" i="2" s="1"/>
  <c r="J31" i="1"/>
  <c r="J31" i="2" s="1"/>
  <c r="K31" i="1"/>
  <c r="K31" i="2" s="1"/>
  <c r="L31" i="1"/>
  <c r="L31" i="2" s="1"/>
  <c r="M31" i="1"/>
  <c r="M31" i="2" s="1"/>
  <c r="N31" i="1"/>
  <c r="N31" i="2" s="1"/>
  <c r="O31" i="1"/>
  <c r="O31" i="2" s="1"/>
  <c r="P31" i="1"/>
  <c r="P31" i="2" s="1"/>
  <c r="Q31" i="1"/>
  <c r="Q31" i="2" s="1"/>
  <c r="R31" i="1"/>
  <c r="R31" i="2" s="1"/>
  <c r="S31" i="1"/>
  <c r="S31" i="2" s="1"/>
  <c r="T31" i="1"/>
  <c r="T31" i="2" s="1"/>
  <c r="U31" i="1"/>
  <c r="U31" i="2" s="1"/>
  <c r="D31" i="1"/>
  <c r="D31" i="2" s="1"/>
  <c r="C31" i="1"/>
  <c r="C31" i="2" s="1"/>
  <c r="E26" i="1"/>
  <c r="E26" i="2" s="1"/>
  <c r="F26" i="1"/>
  <c r="F26" i="2" s="1"/>
  <c r="G26" i="1"/>
  <c r="G26" i="2" s="1"/>
  <c r="H26" i="1"/>
  <c r="H26" i="2" s="1"/>
  <c r="I26" i="1"/>
  <c r="I26" i="2" s="1"/>
  <c r="J26" i="1"/>
  <c r="J26" i="2" s="1"/>
  <c r="K26" i="1"/>
  <c r="K26" i="2" s="1"/>
  <c r="L26" i="1"/>
  <c r="L26" i="2" s="1"/>
  <c r="M26" i="1"/>
  <c r="M26" i="2" s="1"/>
  <c r="N26" i="1"/>
  <c r="N26" i="2" s="1"/>
  <c r="O26" i="1"/>
  <c r="O26" i="2" s="1"/>
  <c r="P26" i="1"/>
  <c r="P26" i="2" s="1"/>
  <c r="Q26" i="1"/>
  <c r="Q26" i="2" s="1"/>
  <c r="R26" i="1"/>
  <c r="R26" i="2" s="1"/>
  <c r="S26" i="1"/>
  <c r="S26" i="2" s="1"/>
  <c r="T26" i="1"/>
  <c r="T26" i="2" s="1"/>
  <c r="U26" i="1"/>
  <c r="U26" i="2" s="1"/>
  <c r="D26" i="1"/>
  <c r="D26" i="2" s="1"/>
  <c r="C26" i="1"/>
  <c r="C26" i="2" s="1"/>
  <c r="A26" i="1"/>
  <c r="E21" i="1"/>
  <c r="E21" i="2" s="1"/>
  <c r="F21" i="1"/>
  <c r="F21" i="2" s="1"/>
  <c r="G21" i="1"/>
  <c r="G21" i="2" s="1"/>
  <c r="H21" i="1"/>
  <c r="H21" i="2" s="1"/>
  <c r="I21" i="1"/>
  <c r="I21" i="2" s="1"/>
  <c r="J21" i="1"/>
  <c r="J21" i="2" s="1"/>
  <c r="K21" i="1"/>
  <c r="K21" i="2" s="1"/>
  <c r="L21" i="1"/>
  <c r="L21" i="2" s="1"/>
  <c r="M21" i="1"/>
  <c r="M21" i="2" s="1"/>
  <c r="N21" i="1"/>
  <c r="N21" i="2" s="1"/>
  <c r="O21" i="1"/>
  <c r="O21" i="2" s="1"/>
  <c r="P21" i="1"/>
  <c r="P21" i="2" s="1"/>
  <c r="Q21" i="1"/>
  <c r="Q21" i="2" s="1"/>
  <c r="R21" i="1"/>
  <c r="R21" i="2" s="1"/>
  <c r="S21" i="1"/>
  <c r="S21" i="2" s="1"/>
  <c r="T21" i="1"/>
  <c r="T21" i="2" s="1"/>
  <c r="U21" i="1"/>
  <c r="U21" i="2" s="1"/>
  <c r="D21" i="1"/>
  <c r="D21" i="2" s="1"/>
  <c r="C21" i="1"/>
  <c r="C21" i="2" s="1"/>
  <c r="A21" i="1"/>
  <c r="A21" i="2" s="1"/>
  <c r="E16" i="1"/>
  <c r="E16" i="2" s="1"/>
  <c r="F16" i="1"/>
  <c r="F16" i="2" s="1"/>
  <c r="G16" i="1"/>
  <c r="G16" i="2" s="1"/>
  <c r="H16" i="1"/>
  <c r="H16" i="2" s="1"/>
  <c r="I16" i="1"/>
  <c r="I16" i="2" s="1"/>
  <c r="J16" i="1"/>
  <c r="J16" i="2" s="1"/>
  <c r="K16" i="1"/>
  <c r="K16" i="2" s="1"/>
  <c r="L16" i="1"/>
  <c r="L16" i="2" s="1"/>
  <c r="M16" i="1"/>
  <c r="M16" i="2" s="1"/>
  <c r="N16" i="1"/>
  <c r="N16" i="2" s="1"/>
  <c r="O16" i="1"/>
  <c r="O16" i="2" s="1"/>
  <c r="P16" i="1"/>
  <c r="P16" i="2" s="1"/>
  <c r="Q16" i="1"/>
  <c r="Q16" i="2" s="1"/>
  <c r="R16" i="1"/>
  <c r="R16" i="2" s="1"/>
  <c r="S16" i="1"/>
  <c r="S16" i="2" s="1"/>
  <c r="T16" i="1"/>
  <c r="T16" i="2" s="1"/>
  <c r="U16" i="1"/>
  <c r="U16" i="2" s="1"/>
  <c r="D16" i="1"/>
  <c r="D16" i="2" s="1"/>
  <c r="C16" i="1"/>
  <c r="C16" i="2" s="1"/>
  <c r="E11" i="1"/>
  <c r="E11" i="2" s="1"/>
  <c r="F11" i="1"/>
  <c r="F11" i="2" s="1"/>
  <c r="G11" i="1"/>
  <c r="G11" i="2" s="1"/>
  <c r="H11" i="1"/>
  <c r="H11" i="2" s="1"/>
  <c r="I11" i="1"/>
  <c r="I11" i="2" s="1"/>
  <c r="J11" i="1"/>
  <c r="J11" i="2" s="1"/>
  <c r="K11" i="1"/>
  <c r="K11" i="2" s="1"/>
  <c r="L11" i="1"/>
  <c r="L11" i="2" s="1"/>
  <c r="M11" i="1"/>
  <c r="M11" i="2" s="1"/>
  <c r="N11" i="1"/>
  <c r="N11" i="2" s="1"/>
  <c r="O11" i="1"/>
  <c r="O11" i="2" s="1"/>
  <c r="P11" i="1"/>
  <c r="P11" i="2" s="1"/>
  <c r="Q11" i="1"/>
  <c r="Q11" i="2" s="1"/>
  <c r="R11" i="1"/>
  <c r="R11" i="2" s="1"/>
  <c r="S11" i="1"/>
  <c r="S11" i="2" s="1"/>
  <c r="T11" i="1"/>
  <c r="T11" i="2" s="1"/>
  <c r="U11" i="1"/>
  <c r="U11" i="2" s="1"/>
  <c r="D11" i="1"/>
  <c r="D11" i="2" s="1"/>
  <c r="C11" i="1"/>
  <c r="C11" i="2" s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D6" i="1"/>
  <c r="C6" i="1"/>
  <c r="A6" i="1"/>
  <c r="A2" i="2" l="1"/>
  <c r="D34" i="2"/>
  <c r="D4" i="2"/>
  <c r="D9" i="2"/>
  <c r="D14" i="2"/>
  <c r="D19" i="2"/>
  <c r="D54" i="2"/>
  <c r="D49" i="2"/>
  <c r="D44" i="2"/>
  <c r="D39" i="2"/>
  <c r="D29" i="2"/>
  <c r="D24" i="2"/>
  <c r="A3" i="2"/>
  <c r="B3" i="2"/>
  <c r="C3" i="2"/>
  <c r="A4" i="2"/>
  <c r="B4" i="2"/>
  <c r="C4" i="2"/>
  <c r="A5" i="2"/>
  <c r="B5" i="2"/>
  <c r="C5" i="2"/>
  <c r="A7" i="2"/>
  <c r="B7" i="2"/>
  <c r="C7" i="2"/>
  <c r="A8" i="2"/>
  <c r="B8" i="2"/>
  <c r="C8" i="2"/>
  <c r="A9" i="2"/>
  <c r="B9" i="2"/>
  <c r="C9" i="2"/>
  <c r="A10" i="2"/>
  <c r="B10" i="2"/>
  <c r="C10" i="2"/>
  <c r="A12" i="2"/>
  <c r="B12" i="2"/>
  <c r="C12" i="2"/>
  <c r="A13" i="2"/>
  <c r="B13" i="2"/>
  <c r="C13" i="2"/>
  <c r="A14" i="2"/>
  <c r="B14" i="2"/>
  <c r="C14" i="2"/>
  <c r="A15" i="2"/>
  <c r="B15" i="2"/>
  <c r="C15" i="2"/>
  <c r="A17" i="2"/>
  <c r="B17" i="2"/>
  <c r="C17" i="2"/>
  <c r="A18" i="2"/>
  <c r="B18" i="2"/>
  <c r="C18" i="2"/>
  <c r="A19" i="2"/>
  <c r="B19" i="2"/>
  <c r="C19" i="2"/>
  <c r="A20" i="2"/>
  <c r="B20" i="2"/>
  <c r="C20" i="2"/>
  <c r="A22" i="2"/>
  <c r="B22" i="2"/>
  <c r="C22" i="2"/>
  <c r="A23" i="2"/>
  <c r="B23" i="2"/>
  <c r="C23" i="2"/>
  <c r="A24" i="2"/>
  <c r="B24" i="2"/>
  <c r="C24" i="2"/>
  <c r="A25" i="2"/>
  <c r="B25" i="2"/>
  <c r="C25" i="2"/>
  <c r="A27" i="2"/>
  <c r="B27" i="2"/>
  <c r="C27" i="2"/>
  <c r="A28" i="2"/>
  <c r="B28" i="2"/>
  <c r="C28" i="2"/>
  <c r="A29" i="2"/>
  <c r="B29" i="2"/>
  <c r="C29" i="2"/>
  <c r="A30" i="2"/>
  <c r="B30" i="2"/>
  <c r="C30" i="2"/>
  <c r="A32" i="2"/>
  <c r="B32" i="2"/>
  <c r="C32" i="2"/>
  <c r="A33" i="2"/>
  <c r="B33" i="2"/>
  <c r="C33" i="2"/>
  <c r="A34" i="2"/>
  <c r="B34" i="2"/>
  <c r="C34" i="2"/>
  <c r="A35" i="2"/>
  <c r="B35" i="2"/>
  <c r="C35" i="2"/>
  <c r="A37" i="2"/>
  <c r="B37" i="2"/>
  <c r="C37" i="2"/>
  <c r="A38" i="2"/>
  <c r="B38" i="2"/>
  <c r="C38" i="2"/>
  <c r="A39" i="2"/>
  <c r="B39" i="2"/>
  <c r="C39" i="2"/>
  <c r="A40" i="2"/>
  <c r="B40" i="2"/>
  <c r="C40" i="2"/>
  <c r="A42" i="2"/>
  <c r="B42" i="2"/>
  <c r="C42" i="2"/>
  <c r="A43" i="2"/>
  <c r="B43" i="2"/>
  <c r="C43" i="2"/>
  <c r="A44" i="2"/>
  <c r="B44" i="2"/>
  <c r="C44" i="2"/>
  <c r="A45" i="2"/>
  <c r="B45" i="2"/>
  <c r="C45" i="2"/>
  <c r="A47" i="2"/>
  <c r="B47" i="2"/>
  <c r="C47" i="2"/>
  <c r="A48" i="2"/>
  <c r="B48" i="2"/>
  <c r="C48" i="2"/>
  <c r="A49" i="2"/>
  <c r="B49" i="2"/>
  <c r="C49" i="2"/>
  <c r="A50" i="2"/>
  <c r="B50" i="2"/>
  <c r="C50" i="2"/>
  <c r="A52" i="2"/>
  <c r="B52" i="2"/>
  <c r="C52" i="2"/>
  <c r="A53" i="2"/>
  <c r="B53" i="2"/>
  <c r="C53" i="2"/>
  <c r="A54" i="2"/>
  <c r="B54" i="2"/>
  <c r="C54" i="2"/>
  <c r="A55" i="2"/>
  <c r="B55" i="2"/>
  <c r="C55" i="2"/>
  <c r="B2" i="2"/>
  <c r="C2" i="2"/>
  <c r="B1" i="2"/>
  <c r="C1" i="2"/>
  <c r="D1" i="2"/>
  <c r="A1" i="2"/>
</calcChain>
</file>

<file path=xl/sharedStrings.xml><?xml version="1.0" encoding="utf-8"?>
<sst xmlns="http://schemas.openxmlformats.org/spreadsheetml/2006/main" count="2509" uniqueCount="1213">
  <si>
    <t>country_id</t>
  </si>
  <si>
    <t>variable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</si>
  <si>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</si>
  <si>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</si>
  <si>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</si>
  <si>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</si>
  <si>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</si>
  <si>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</si>
  <si>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</si>
  <si>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</si>
  <si>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</si>
  <si>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</si>
  <si>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</si>
  <si>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</si>
  <si>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</si>
  <si>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</si>
  <si>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</si>
  <si>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</si>
  <si>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</si>
  <si>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</si>
  <si>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Armenia</t>
  </si>
  <si>
    <t>GDP per capita, PPP (constant 2021 international $)</t>
  </si>
  <si>
    <t>International tourism, number of arrivals</t>
  </si>
  <si>
    <t>Political Stability and Absence of Violence/Terrorism: Estimate</t>
  </si>
  <si>
    <t>Official exchange rate (LCU per US$, period average)</t>
  </si>
  <si>
    <t>Azerbaijan</t>
  </si>
  <si>
    <t xml:space="preserve"> 🇦🇿</t>
  </si>
  <si>
    <t>China</t>
  </si>
  <si>
    <t xml:space="preserve"> 🇨🇳</t>
  </si>
  <si>
    <t xml:space="preserve"> 🇪🇬</t>
  </si>
  <si>
    <t>Georgia</t>
  </si>
  <si>
    <t xml:space="preserve"> 🇬🇪</t>
  </si>
  <si>
    <t>India</t>
  </si>
  <si>
    <t xml:space="preserve"> 🇮🇳</t>
  </si>
  <si>
    <t xml:space="preserve"> 🇮🇷</t>
  </si>
  <si>
    <t>Italy</t>
  </si>
  <si>
    <t xml:space="preserve"> 🇮🇹</t>
  </si>
  <si>
    <t>Kazakhstan</t>
  </si>
  <si>
    <t xml:space="preserve"> 🇰🇿</t>
  </si>
  <si>
    <t xml:space="preserve"> 🇰🇬</t>
  </si>
  <si>
    <t>Saudi Arabia</t>
  </si>
  <si>
    <t xml:space="preserve"> 🇸🇦</t>
  </si>
  <si>
    <t xml:space="preserve"> 🇹🇷</t>
  </si>
  <si>
    <t>Egypt</t>
  </si>
  <si>
    <t>Iran</t>
  </si>
  <si>
    <t>Kyrgyzstan</t>
  </si>
  <si>
    <t>Türkiye</t>
  </si>
  <si>
    <t>Egypt, Arab Rep.</t>
  </si>
  <si>
    <t>Iran, Islamic Rep.</t>
  </si>
  <si>
    <t>Kyrgyz Republic</t>
  </si>
  <si>
    <t>Turkiye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</si>
  <si>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</si>
  <si>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</si>
  <si>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</si>
  <si>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</si>
  <si>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</si>
  <si>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</si>
  <si>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</si>
  <si>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2020</t>
  </si>
  <si>
    <t>2021</t>
  </si>
  <si>
    <t>2022</t>
  </si>
  <si>
    <t>2023</t>
  </si>
  <si>
    <t>2024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</si>
  <si>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</si>
  <si>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</si>
  <si>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</si>
  <si>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</si>
  <si>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</si>
  <si>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</si>
  <si>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</si>
  <si>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</si>
  <si>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</si>
  <si>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</si>
  <si>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</si>
  <si>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</si>
  <si>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</si>
  <si>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</si>
  <si>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</si>
  <si>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</si>
  <si>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</si>
  <si>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</si>
  <si>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</si>
  <si>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</si>
  <si>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</si>
  <si>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</si>
  <si>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</si>
  <si>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</si>
  <si>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</si>
  <si>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</si>
  <si>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</si>
  <si>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</si>
  <si>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</si>
  <si>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</si>
  <si>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</si>
  <si>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</si>
  <si>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</si>
  <si>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</si>
  <si>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</si>
  <si>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</si>
  <si>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</si>
  <si>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</si>
  <si>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</si>
  <si>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</si>
  <si>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</si>
  <si>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</si>
  <si>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</si>
  <si>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</si>
  <si>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</si>
  <si>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</si>
  <si>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</si>
  <si>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</si>
  <si>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</si>
  <si>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</si>
  <si>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</si>
  <si>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</si>
  <si>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</si>
  <si>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</si>
  <si>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</si>
  <si>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</si>
  <si>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</si>
  <si>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</si>
  <si>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</si>
  <si>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</si>
  <si>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</si>
  <si>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</si>
  <si>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</si>
  <si>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</si>
  <si>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</si>
  <si>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</si>
  <si>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</si>
  <si>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</si>
  <si>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</si>
  <si>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</si>
  <si>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</si>
  <si>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</si>
  <si>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</si>
  <si>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</si>
  <si>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</si>
  <si>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</si>
  <si>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</si>
  <si>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</si>
  <si>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</si>
  <si>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</si>
  <si>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</si>
  <si>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</si>
  <si>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</si>
  <si>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</si>
  <si>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</si>
  <si>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</si>
  <si>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</si>
  <si>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</si>
  <si>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</si>
  <si>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</si>
  <si>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</si>
  <si>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</si>
  <si>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</si>
  <si>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</si>
  <si>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</si>
  <si>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</si>
  <si>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</si>
  <si>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</si>
  <si>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</si>
  <si>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</si>
  <si>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</si>
  <si>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</si>
  <si>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</si>
  <si>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</si>
  <si>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</si>
  <si>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</si>
  <si>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</si>
  <si>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</si>
  <si>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</si>
  <si>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</si>
  <si>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</si>
  <si>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</si>
  <si>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</si>
  <si>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</si>
  <si>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</si>
  <si>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</si>
  <si>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</si>
  <si>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</si>
  <si>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</si>
  <si>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</si>
  <si>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</si>
  <si>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</si>
  <si>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</si>
  <si>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</si>
  <si>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</si>
  <si>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</si>
  <si>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</si>
  <si>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</si>
  <si>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</si>
  <si>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</si>
  <si>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</si>
  <si>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</si>
  <si>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</si>
  <si>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</si>
  <si>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</si>
  <si>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</si>
  <si>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</si>
  <si>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</si>
  <si>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</si>
  <si>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</si>
  <si>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</si>
  <si>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</si>
  <si>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</si>
  <si>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</si>
  <si>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</si>
  <si>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</si>
  <si>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</si>
  <si>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</si>
  <si>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</si>
  <si>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</si>
  <si>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</si>
  <si>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</si>
  <si>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</si>
  <si>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</si>
  <si>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</si>
  <si>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</si>
  <si>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</si>
  <si>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</si>
  <si>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</si>
  <si>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</si>
  <si>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</si>
  <si>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</si>
  <si>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</si>
  <si>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</si>
  <si>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</si>
  <si>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</si>
  <si>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</si>
  <si>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</si>
  <si>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</si>
  <si>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</si>
  <si>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</si>
  <si>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</si>
  <si>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</si>
  <si>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</si>
  <si>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</si>
  <si>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</si>
  <si>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</si>
  <si>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</si>
  <si>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</si>
  <si>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</si>
  <si>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</si>
  <si>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</si>
  <si>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</si>
  <si>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</si>
  <si>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</si>
  <si>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</si>
  <si>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</si>
  <si>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</si>
  <si>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</si>
  <si>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</si>
  <si>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</si>
  <si>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</si>
  <si>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</si>
  <si>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</si>
  <si>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</si>
  <si>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</si>
  <si>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</si>
  <si>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</si>
  <si>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</si>
  <si>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</si>
  <si>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</si>
  <si>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</si>
  <si>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</si>
  <si>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</si>
  <si>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</si>
  <si>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</si>
  <si>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</si>
  <si>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</si>
  <si>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</si>
  <si>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</si>
  <si>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</si>
  <si>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</si>
  <si>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</si>
  <si>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</si>
  <si>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</si>
  <si>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</si>
  <si>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Ireland</t>
  </si>
  <si>
    <t>IRL</t>
  </si>
  <si>
    <t>IRN</t>
  </si>
  <si>
    <t>Iraq</t>
  </si>
  <si>
    <t>IRQ</t>
  </si>
  <si>
    <t>Iceland</t>
  </si>
  <si>
    <t>ISL</t>
  </si>
  <si>
    <t>Israel</t>
  </si>
  <si>
    <t>ISR</t>
  </si>
  <si>
    <t>ITA</t>
  </si>
  <si>
    <t>Jamaica</t>
  </si>
  <si>
    <t>JAM</t>
  </si>
  <si>
    <t>Jordan</t>
  </si>
  <si>
    <t>JOR</t>
  </si>
  <si>
    <t>Japan</t>
  </si>
  <si>
    <t>JPN</t>
  </si>
  <si>
    <t>KAZ</t>
  </si>
  <si>
    <t>Kenya</t>
  </si>
  <si>
    <t>KEN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</si>
  <si>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</si>
  <si>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</si>
  <si>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</si>
  <si>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</si>
  <si>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</si>
  <si>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</si>
  <si>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</si>
  <si>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</si>
  <si>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</si>
  <si>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</si>
  <si>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</si>
  <si>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</si>
  <si>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</si>
  <si>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</si>
  <si>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</si>
  <si>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</si>
  <si>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</si>
  <si>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</si>
  <si>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</si>
  <si>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</si>
  <si>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</si>
  <si>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</si>
  <si>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</si>
  <si>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</si>
  <si>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</si>
  <si>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</si>
  <si>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</si>
  <si>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</si>
  <si>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</si>
  <si>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</si>
  <si>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</si>
  <si>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</si>
  <si>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</si>
  <si>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</si>
  <si>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</si>
  <si>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</si>
  <si>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</si>
  <si>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</si>
  <si>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</si>
  <si>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</si>
  <si>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</si>
  <si>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</si>
  <si>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</si>
  <si>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</si>
  <si>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</si>
  <si>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</si>
  <si>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</si>
  <si>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</si>
  <si>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</si>
  <si>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</si>
  <si>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</si>
  <si>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</si>
  <si>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</si>
  <si>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</si>
  <si>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</si>
  <si>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</si>
  <si>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</si>
  <si>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</si>
  <si>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</si>
  <si>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</si>
  <si>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</si>
  <si>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</si>
  <si>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</si>
  <si>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</si>
  <si>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</si>
  <si>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</si>
  <si>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</si>
  <si>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</si>
  <si>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</si>
  <si>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</si>
  <si>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</si>
  <si>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</si>
  <si>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</si>
  <si>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</si>
  <si>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</si>
  <si>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</si>
  <si>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</si>
  <si>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</si>
  <si>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</si>
  <si>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</si>
  <si>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</si>
  <si>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</si>
  <si>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</si>
  <si>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</si>
  <si>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</si>
  <si>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</si>
  <si>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</si>
  <si>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</si>
  <si>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</si>
  <si>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</si>
  <si>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</si>
  <si>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</si>
  <si>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</si>
  <si>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</si>
  <si>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</si>
  <si>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</si>
  <si>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</si>
  <si>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</si>
  <si>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</si>
  <si>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</si>
  <si>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</si>
  <si>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</si>
  <si>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</si>
  <si>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</si>
  <si>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</si>
  <si>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</si>
  <si>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</si>
  <si>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</si>
  <si>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</si>
  <si>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</si>
  <si>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</si>
  <si>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</si>
  <si>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</si>
  <si>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</si>
  <si>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</si>
  <si>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</si>
  <si>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</si>
  <si>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</si>
  <si>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</si>
  <si>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</si>
  <si>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</si>
  <si>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</si>
  <si>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</si>
  <si>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</si>
  <si>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</si>
  <si>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</si>
  <si>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</si>
  <si>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</si>
  <si>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</si>
  <si>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</si>
  <si>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</si>
  <si>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</si>
  <si>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</si>
  <si>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</si>
  <si>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</si>
  <si>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</si>
  <si>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</si>
  <si>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</si>
  <si>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</si>
  <si>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</si>
  <si>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</si>
  <si>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</si>
  <si>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</si>
  <si>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</si>
  <si>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</si>
  <si>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</si>
  <si>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</si>
  <si>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</si>
  <si>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</si>
  <si>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</si>
  <si>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</si>
  <si>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</si>
  <si>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</si>
  <si>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</si>
  <si>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</si>
  <si>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</si>
  <si>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</si>
  <si>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</si>
  <si>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</si>
  <si>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</si>
  <si>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</si>
  <si>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</si>
  <si>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</si>
  <si>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</si>
  <si>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</si>
  <si>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</si>
  <si>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</si>
  <si>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</si>
  <si>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</si>
  <si>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</si>
  <si>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</si>
  <si>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</si>
  <si>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</si>
  <si>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</si>
  <si>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</si>
  <si>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</si>
  <si>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</si>
  <si>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</si>
  <si>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</si>
  <si>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</si>
  <si>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</si>
  <si>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</si>
  <si>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</si>
  <si>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</si>
  <si>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</si>
  <si>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</si>
  <si>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</si>
  <si>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</si>
  <si>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</si>
  <si>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</si>
  <si>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</si>
  <si>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</si>
  <si>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</si>
  <si>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</si>
  <si>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</si>
  <si>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</si>
  <si>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</si>
  <si>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</si>
  <si>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</si>
  <si>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</si>
  <si>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</si>
  <si>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</si>
  <si>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</si>
  <si>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</si>
  <si>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</si>
  <si>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</si>
  <si>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</si>
  <si>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</si>
  <si>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</si>
  <si>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</si>
  <si>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</si>
  <si>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</si>
  <si>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</si>
  <si>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</si>
  <si>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</si>
  <si>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</si>
  <si>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</si>
  <si>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</si>
  <si>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</si>
  <si>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</si>
  <si>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</si>
  <si>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</si>
  <si>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</si>
  <si>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</si>
  <si>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</si>
  <si>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</si>
  <si>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</si>
  <si>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</si>
  <si>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</si>
  <si>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</si>
  <si>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</si>
  <si>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</si>
  <si>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</si>
  <si>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</si>
  <si>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</si>
  <si>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</si>
  <si>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</si>
  <si>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</si>
  <si>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</si>
  <si>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</si>
  <si>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</si>
  <si>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</si>
  <si>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</si>
  <si>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</si>
  <si>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</si>
  <si>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</si>
  <si>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</si>
  <si>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</si>
  <si>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</si>
  <si>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</si>
  <si>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</si>
  <si>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</si>
  <si>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</si>
  <si>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</si>
  <si>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</si>
  <si>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</si>
  <si>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</si>
  <si>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</si>
  <si>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</si>
  <si>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</si>
  <si>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</si>
  <si>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</si>
  <si>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</si>
  <si>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</si>
  <si>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</si>
  <si>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</si>
  <si>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</si>
  <si>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</si>
  <si>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</si>
  <si>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</si>
  <si>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</si>
  <si>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</si>
  <si>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</si>
  <si>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</si>
  <si>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</si>
  <si>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</si>
  <si>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</si>
  <si>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</si>
  <si>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</si>
  <si>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</si>
  <si>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</si>
  <si>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</si>
  <si>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</si>
  <si>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</si>
  <si>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</si>
  <si>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exchange rate</t>
  </si>
  <si>
    <t>country</t>
  </si>
  <si>
    <t>year</t>
  </si>
  <si>
    <t>GDP</t>
  </si>
  <si>
    <t>inbound</t>
  </si>
  <si>
    <t>Political Stability</t>
  </si>
  <si>
    <t>3.76</t>
  </si>
  <si>
    <t>-0.26</t>
  </si>
  <si>
    <t>-0.77</t>
  </si>
  <si>
    <t>3.82</t>
  </si>
  <si>
    <t>0.24</t>
  </si>
  <si>
    <t>-0.12</t>
  </si>
  <si>
    <t>-0.35</t>
  </si>
  <si>
    <t>-0.07</t>
  </si>
  <si>
    <t>-0.20</t>
  </si>
  <si>
    <t>3.98</t>
  </si>
  <si>
    <t>-0.78</t>
  </si>
  <si>
    <t>0.15</t>
  </si>
  <si>
    <t>0.45</t>
  </si>
  <si>
    <t>4.07</t>
  </si>
  <si>
    <t>-0.01</t>
  </si>
  <si>
    <t>5.79</t>
  </si>
  <si>
    <t>-0.02</t>
  </si>
  <si>
    <t>5.84</t>
  </si>
  <si>
    <t>0.07</t>
  </si>
  <si>
    <t>0.22</t>
  </si>
  <si>
    <t>-0.06</t>
  </si>
  <si>
    <t>0.46</t>
  </si>
  <si>
    <t>0.11</t>
  </si>
  <si>
    <t>0.33</t>
  </si>
  <si>
    <t>-0.30</t>
  </si>
  <si>
    <t>-0.89</t>
  </si>
  <si>
    <t>-0.67</t>
  </si>
  <si>
    <t>-0.63</t>
  </si>
  <si>
    <t>4.18</t>
  </si>
  <si>
    <t>-0.45</t>
  </si>
  <si>
    <t>4.21</t>
  </si>
  <si>
    <t>-1.19</t>
  </si>
  <si>
    <t>-0.95</t>
  </si>
  <si>
    <t>-1.06</t>
  </si>
  <si>
    <t>-1.12</t>
  </si>
  <si>
    <t>-1.09</t>
  </si>
  <si>
    <t>-0.05</t>
  </si>
  <si>
    <t>4.25</t>
  </si>
  <si>
    <t>-0.33</t>
  </si>
  <si>
    <t>-0.09</t>
  </si>
  <si>
    <t>-0.28</t>
  </si>
  <si>
    <t>-1.39</t>
  </si>
  <si>
    <t>-0.24</t>
  </si>
  <si>
    <t>-0.10</t>
  </si>
  <si>
    <t>-0.53</t>
  </si>
  <si>
    <t>-0.72</t>
  </si>
  <si>
    <t>-0.41</t>
  </si>
  <si>
    <t>-0.11</t>
  </si>
  <si>
    <t>-0.56</t>
  </si>
  <si>
    <t>-0.73</t>
  </si>
  <si>
    <t>0.01</t>
  </si>
  <si>
    <t>-0.81</t>
  </si>
  <si>
    <t>-0.75</t>
  </si>
  <si>
    <t>-0.71</t>
  </si>
  <si>
    <t>-0.69</t>
  </si>
  <si>
    <t>0.92</t>
  </si>
  <si>
    <t>3.71</t>
  </si>
  <si>
    <t>-0.57</t>
  </si>
  <si>
    <t>3.75</t>
  </si>
  <si>
    <t>-0.39</t>
  </si>
  <si>
    <t>3.79</t>
  </si>
  <si>
    <t>-0.50</t>
  </si>
  <si>
    <t>8.14</t>
  </si>
  <si>
    <t>3.84</t>
  </si>
  <si>
    <t>-0.54</t>
  </si>
  <si>
    <t>8.20</t>
  </si>
  <si>
    <t>8.26</t>
  </si>
  <si>
    <t>-0.49</t>
  </si>
  <si>
    <t>0.84</t>
  </si>
  <si>
    <t>-0.66</t>
  </si>
  <si>
    <t>-0.60</t>
  </si>
  <si>
    <t>8.50</t>
  </si>
  <si>
    <t>4.11</t>
  </si>
  <si>
    <t>0.79</t>
  </si>
  <si>
    <t>-0.52</t>
  </si>
  <si>
    <t>4.16</t>
  </si>
  <si>
    <t>-0.55</t>
  </si>
  <si>
    <t>0.82</t>
  </si>
  <si>
    <t>8.69</t>
  </si>
  <si>
    <t>-0.23</t>
  </si>
  <si>
    <t>8.79</t>
  </si>
  <si>
    <t>0.65</t>
  </si>
  <si>
    <t>-0.64</t>
  </si>
  <si>
    <t>-0.82</t>
  </si>
  <si>
    <t>0.76</t>
  </si>
  <si>
    <t>-0.84</t>
  </si>
  <si>
    <t>-0.51</t>
  </si>
  <si>
    <t>-0.61</t>
  </si>
  <si>
    <t>0.74</t>
  </si>
  <si>
    <t>-0.90</t>
  </si>
  <si>
    <t>-1.44</t>
  </si>
  <si>
    <t>0.78</t>
  </si>
  <si>
    <t>-1.64</t>
  </si>
  <si>
    <t>-1.63</t>
  </si>
  <si>
    <t>-1.50</t>
  </si>
  <si>
    <t>1.00</t>
  </si>
  <si>
    <t>-1.43</t>
  </si>
  <si>
    <t>3.81</t>
  </si>
  <si>
    <t>0.34</t>
  </si>
  <si>
    <t>-1.30</t>
  </si>
  <si>
    <t>-0.86</t>
  </si>
  <si>
    <t>-0.76</t>
  </si>
  <si>
    <t>0.26</t>
  </si>
  <si>
    <t>5.40</t>
  </si>
  <si>
    <t>-0.97</t>
  </si>
  <si>
    <t>0.25</t>
  </si>
  <si>
    <t>-0.65</t>
  </si>
  <si>
    <t>-0.92</t>
  </si>
  <si>
    <t>-0.68</t>
  </si>
  <si>
    <t>-0.44</t>
  </si>
  <si>
    <t>-0.32</t>
  </si>
  <si>
    <t>-1.29</t>
  </si>
  <si>
    <t>4.17</t>
  </si>
  <si>
    <t>-0.47</t>
  </si>
  <si>
    <t>0.36</t>
  </si>
  <si>
    <t>0.37</t>
  </si>
  <si>
    <t>-1.28</t>
  </si>
  <si>
    <t>-0.38</t>
  </si>
  <si>
    <t>0.40</t>
  </si>
  <si>
    <t>-1.79</t>
  </si>
  <si>
    <t>-1.21</t>
  </si>
  <si>
    <t>1.69</t>
  </si>
  <si>
    <t>-1.51</t>
  </si>
  <si>
    <t>-1.01</t>
  </si>
  <si>
    <t>3.62</t>
  </si>
  <si>
    <t>-1.07</t>
  </si>
  <si>
    <t>-1.15</t>
  </si>
  <si>
    <t>-1.11</t>
  </si>
  <si>
    <t>-1.36</t>
  </si>
  <si>
    <t>3.72</t>
  </si>
  <si>
    <t>-1.33</t>
  </si>
  <si>
    <t>1.73</t>
  </si>
  <si>
    <t>-1.23</t>
  </si>
  <si>
    <t>1.77</t>
  </si>
  <si>
    <t>3.78</t>
  </si>
  <si>
    <t>-1.00</t>
  </si>
  <si>
    <t>-0.96</t>
  </si>
  <si>
    <t>1.83</t>
  </si>
  <si>
    <t>-0.80</t>
  </si>
  <si>
    <t>-1.04</t>
  </si>
  <si>
    <t>-0.93</t>
  </si>
  <si>
    <t>-0.94</t>
  </si>
  <si>
    <t>-1.56</t>
  </si>
  <si>
    <t>-1.42</t>
  </si>
  <si>
    <t>-1.32</t>
  </si>
  <si>
    <t>-1.25</t>
  </si>
  <si>
    <t>-0.87</t>
  </si>
  <si>
    <t>-1.34</t>
  </si>
  <si>
    <t>-1.71</t>
  </si>
  <si>
    <t>0.02</t>
  </si>
  <si>
    <t>0.43</t>
  </si>
  <si>
    <t>0.27</t>
  </si>
  <si>
    <t>16.16</t>
  </si>
  <si>
    <t>0.49</t>
  </si>
  <si>
    <t>0.53</t>
  </si>
  <si>
    <t>0.55</t>
  </si>
  <si>
    <t>-0.17</t>
  </si>
  <si>
    <t>0.35</t>
  </si>
  <si>
    <t>0.47</t>
  </si>
  <si>
    <t>0.50</t>
  </si>
  <si>
    <t>0.51</t>
  </si>
  <si>
    <t>-0.04</t>
  </si>
  <si>
    <t>0.29</t>
  </si>
  <si>
    <t>0.38</t>
  </si>
  <si>
    <t>0.42</t>
  </si>
  <si>
    <t>0.19</t>
  </si>
  <si>
    <t>0.21</t>
  </si>
  <si>
    <t>2.10</t>
  </si>
  <si>
    <t>0.63</t>
  </si>
  <si>
    <t>2.08</t>
  </si>
  <si>
    <t>0.52</t>
  </si>
  <si>
    <t>-0.34</t>
  </si>
  <si>
    <t>-0.40</t>
  </si>
  <si>
    <t>0.04</t>
  </si>
  <si>
    <t>0.00</t>
  </si>
  <si>
    <t>3.60</t>
  </si>
  <si>
    <t>-1.10</t>
  </si>
  <si>
    <t>-1.18</t>
  </si>
  <si>
    <t>-1.17</t>
  </si>
  <si>
    <t>-0.99</t>
  </si>
  <si>
    <t>1.57</t>
  </si>
  <si>
    <t>3.69</t>
  </si>
  <si>
    <t>-0.62</t>
  </si>
  <si>
    <t>-0.91</t>
  </si>
  <si>
    <t>-0.88</t>
  </si>
  <si>
    <t>1.84</t>
  </si>
  <si>
    <t>3.77</t>
  </si>
  <si>
    <t>-0.36</t>
  </si>
  <si>
    <t>-0.27</t>
  </si>
  <si>
    <t>0.57</t>
  </si>
  <si>
    <t>0.14</t>
  </si>
  <si>
    <t>-1.20</t>
  </si>
  <si>
    <t>-1.13</t>
  </si>
  <si>
    <t>0.18</t>
  </si>
  <si>
    <t>0.13</t>
  </si>
  <si>
    <t>0.48</t>
  </si>
  <si>
    <t>-0.46</t>
  </si>
  <si>
    <t>-0.48</t>
  </si>
  <si>
    <t>-0.43</t>
  </si>
  <si>
    <t>-0.29</t>
  </si>
  <si>
    <t>-0.83</t>
  </si>
  <si>
    <t>-0.59</t>
  </si>
  <si>
    <t>-1.03</t>
  </si>
  <si>
    <t>-1.22</t>
  </si>
  <si>
    <t>-2.01</t>
  </si>
  <si>
    <t>-1.38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</si>
  <si>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</si>
  <si>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</si>
  <si>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</si>
  <si>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</si>
  <si>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</si>
  <si>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</si>
  <si>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</si>
  <si>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</si>
  <si>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</si>
  <si>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</si>
  <si>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</si>
  <si>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</si>
  <si>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</si>
  <si>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</si>
  <si>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</si>
  <si>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</si>
  <si>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</si>
  <si>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</si>
  <si>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</si>
  <si>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</si>
  <si>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</si>
  <si>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</si>
  <si>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</si>
  <si>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</si>
  <si>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</si>
  <si>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</si>
  <si>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</si>
  <si>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</si>
  <si>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</si>
  <si>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</si>
  <si>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</si>
  <si>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</si>
  <si>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</si>
  <si>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</si>
  <si>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</si>
  <si>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</si>
  <si>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</si>
  <si>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</si>
  <si>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</si>
  <si>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</si>
  <si>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</si>
  <si>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</si>
  <si>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Rule of Law: Estimate</t>
  </si>
  <si>
    <t>RL.EST</t>
  </si>
  <si>
    <t>13.63</t>
  </si>
  <si>
    <t>-0.03</t>
  </si>
  <si>
    <t>8.88</t>
  </si>
  <si>
    <t>13.85</t>
  </si>
  <si>
    <t>8.96</t>
  </si>
  <si>
    <t>14.06</t>
  </si>
  <si>
    <t>9.20</t>
  </si>
  <si>
    <t>13.98</t>
  </si>
  <si>
    <t>-0.79</t>
  </si>
  <si>
    <t>9.49</t>
  </si>
  <si>
    <t>13.99</t>
  </si>
  <si>
    <t>9.70</t>
  </si>
  <si>
    <t>14.10</t>
  </si>
  <si>
    <t>-0.15</t>
  </si>
  <si>
    <t>9.78</t>
  </si>
  <si>
    <t>14.46</t>
  </si>
  <si>
    <t>9.85</t>
  </si>
  <si>
    <t>14.42</t>
  </si>
  <si>
    <t>-0.22</t>
  </si>
  <si>
    <t>9.88</t>
  </si>
  <si>
    <t>14.49</t>
  </si>
  <si>
    <t>9.87</t>
  </si>
  <si>
    <t>14.62</t>
  </si>
  <si>
    <t>14.73</t>
  </si>
  <si>
    <t>9.92</t>
  </si>
  <si>
    <t>14.74</t>
  </si>
  <si>
    <t>14.32</t>
  </si>
  <si>
    <t>9.94</t>
  </si>
  <si>
    <t>14.65</t>
  </si>
  <si>
    <t>-0.70</t>
  </si>
  <si>
    <t>14.51</t>
  </si>
  <si>
    <t>9.89</t>
  </si>
  <si>
    <t>14.63</t>
  </si>
  <si>
    <t>14.81</t>
  </si>
  <si>
    <t>0.54</t>
  </si>
  <si>
    <t>-0.58</t>
  </si>
  <si>
    <t>14.86</t>
  </si>
  <si>
    <t>9.91</t>
  </si>
  <si>
    <t>14.97</t>
  </si>
  <si>
    <t>8.44</t>
  </si>
  <si>
    <t>18.40</t>
  </si>
  <si>
    <t>2.11</t>
  </si>
  <si>
    <t>8.53</t>
  </si>
  <si>
    <t>18.33</t>
  </si>
  <si>
    <t>8.62</t>
  </si>
  <si>
    <t>18.51</t>
  </si>
  <si>
    <t>8.73</t>
  </si>
  <si>
    <t>18.61</t>
  </si>
  <si>
    <t>8.84</t>
  </si>
  <si>
    <t>18.64</t>
  </si>
  <si>
    <t>18.88</t>
  </si>
  <si>
    <t>8.97</t>
  </si>
  <si>
    <t>18.70</t>
  </si>
  <si>
    <t>2.03</t>
  </si>
  <si>
    <t>9.06</t>
  </si>
  <si>
    <t>18.68</t>
  </si>
  <si>
    <t>1.94</t>
  </si>
  <si>
    <t>9.14</t>
  </si>
  <si>
    <t>18.66</t>
  </si>
  <si>
    <t>1.92</t>
  </si>
  <si>
    <t>9.24</t>
  </si>
  <si>
    <t>18.71</t>
  </si>
  <si>
    <t>1.91</t>
  </si>
  <si>
    <t>9.32</t>
  </si>
  <si>
    <t>18.72</t>
  </si>
  <si>
    <t>1.87</t>
  </si>
  <si>
    <t>9.39</t>
  </si>
  <si>
    <t>9.46</t>
  </si>
  <si>
    <t>1.82</t>
  </si>
  <si>
    <t>9.52</t>
  </si>
  <si>
    <t>18.67</t>
  </si>
  <si>
    <t>9.59</t>
  </si>
  <si>
    <t>9.65</t>
  </si>
  <si>
    <t>18.77</t>
  </si>
  <si>
    <t>1.89</t>
  </si>
  <si>
    <t>9.71</t>
  </si>
  <si>
    <t>18.85</t>
  </si>
  <si>
    <t>9.77</t>
  </si>
  <si>
    <t>9.82</t>
  </si>
  <si>
    <t>18.91</t>
  </si>
  <si>
    <t>1.93</t>
  </si>
  <si>
    <t>9.22</t>
  </si>
  <si>
    <t>15.46</t>
  </si>
  <si>
    <t>1.50</t>
  </si>
  <si>
    <t>15.33</t>
  </si>
  <si>
    <t>15.61</t>
  </si>
  <si>
    <t>9.25</t>
  </si>
  <si>
    <t>15.91</t>
  </si>
  <si>
    <t>9.28</t>
  </si>
  <si>
    <t>15.97</t>
  </si>
  <si>
    <t>1.75</t>
  </si>
  <si>
    <t>15.40</t>
  </si>
  <si>
    <t>16.02</t>
  </si>
  <si>
    <t>15.42</t>
  </si>
  <si>
    <t>9.37</t>
  </si>
  <si>
    <t>16.22</t>
  </si>
  <si>
    <t>-0.25</t>
  </si>
  <si>
    <t>9.42</t>
  </si>
  <si>
    <t>16.37</t>
  </si>
  <si>
    <t>-0.13</t>
  </si>
  <si>
    <t>9.45</t>
  </si>
  <si>
    <t>16.34</t>
  </si>
  <si>
    <t>1.71</t>
  </si>
  <si>
    <t>-0.08</t>
  </si>
  <si>
    <t>9.48</t>
  </si>
  <si>
    <t>16.51</t>
  </si>
  <si>
    <t>16.10</t>
  </si>
  <si>
    <t>1.78</t>
  </si>
  <si>
    <t>15.86</t>
  </si>
  <si>
    <t>16.26</t>
  </si>
  <si>
    <t>1.80</t>
  </si>
  <si>
    <t>16.06</t>
  </si>
  <si>
    <t>-0.74</t>
  </si>
  <si>
    <t>16.11</t>
  </si>
  <si>
    <t>1.96</t>
  </si>
  <si>
    <t>9.50</t>
  </si>
  <si>
    <t>16.05</t>
  </si>
  <si>
    <t>2.04</t>
  </si>
  <si>
    <t>9.53</t>
  </si>
  <si>
    <t>15.50</t>
  </si>
  <si>
    <t>2.31</t>
  </si>
  <si>
    <t>9.55</t>
  </si>
  <si>
    <t>15.93</t>
  </si>
  <si>
    <t>2.88</t>
  </si>
  <si>
    <t>9.58</t>
  </si>
  <si>
    <t>16.24</t>
  </si>
  <si>
    <t>9.62</t>
  </si>
  <si>
    <t>16.38</t>
  </si>
  <si>
    <t>2.82</t>
  </si>
  <si>
    <t>16.40</t>
  </si>
  <si>
    <t>8.77</t>
  </si>
  <si>
    <t>12.60</t>
  </si>
  <si>
    <t>-1.08</t>
  </si>
  <si>
    <t>8.89</t>
  </si>
  <si>
    <t>12.65</t>
  </si>
  <si>
    <t>8.95</t>
  </si>
  <si>
    <t>12.82</t>
  </si>
  <si>
    <t>9.05</t>
  </si>
  <si>
    <t>13.24</t>
  </si>
  <si>
    <t>0.59</t>
  </si>
  <si>
    <t>13.80</t>
  </si>
  <si>
    <t>0.58</t>
  </si>
  <si>
    <t>9.27</t>
  </si>
  <si>
    <t>13.87</t>
  </si>
  <si>
    <t>9.29</t>
  </si>
  <si>
    <t>14.07</t>
  </si>
  <si>
    <t>9.26</t>
  </si>
  <si>
    <t>14.22</t>
  </si>
  <si>
    <t>9.33</t>
  </si>
  <si>
    <t>14.52</t>
  </si>
  <si>
    <t>-0.21</t>
  </si>
  <si>
    <t>15.23</t>
  </si>
  <si>
    <t>9.54</t>
  </si>
  <si>
    <t>15.43</t>
  </si>
  <si>
    <t>9.61</t>
  </si>
  <si>
    <t>15.47</t>
  </si>
  <si>
    <t>9.64</t>
  </si>
  <si>
    <t>0.86</t>
  </si>
  <si>
    <t>15.68</t>
  </si>
  <si>
    <t>12.74</t>
  </si>
  <si>
    <t>9.75</t>
  </si>
  <si>
    <t>15.79</t>
  </si>
  <si>
    <t>0.93</t>
  </si>
  <si>
    <t>9.81</t>
  </si>
  <si>
    <t>1.04</t>
  </si>
  <si>
    <t>8.09</t>
  </si>
  <si>
    <t>14.68</t>
  </si>
  <si>
    <t>3.88</t>
  </si>
  <si>
    <t>16.69</t>
  </si>
  <si>
    <t>14.82</t>
  </si>
  <si>
    <t>0.12</t>
  </si>
  <si>
    <t>15.06</t>
  </si>
  <si>
    <t>0.05</t>
  </si>
  <si>
    <t>15.18</t>
  </si>
  <si>
    <t>8.33</t>
  </si>
  <si>
    <t>15.31</t>
  </si>
  <si>
    <t>8.38</t>
  </si>
  <si>
    <t>15.44</t>
  </si>
  <si>
    <t>17.76</t>
  </si>
  <si>
    <t>0.10</t>
  </si>
  <si>
    <t>8.40</t>
  </si>
  <si>
    <t>15.48</t>
  </si>
  <si>
    <t>8.46</t>
  </si>
  <si>
    <t>15.57</t>
  </si>
  <si>
    <t>8.57</t>
  </si>
  <si>
    <t>15.66</t>
  </si>
  <si>
    <t>8.61</t>
  </si>
  <si>
    <t>15.70</t>
  </si>
  <si>
    <t>18.09</t>
  </si>
  <si>
    <t>8.65</t>
  </si>
  <si>
    <t>15.76</t>
  </si>
  <si>
    <t>18.14</t>
  </si>
  <si>
    <t>8.71</t>
  </si>
  <si>
    <t>16.39</t>
  </si>
  <si>
    <t>8.78</t>
  </si>
  <si>
    <t>8.85</t>
  </si>
  <si>
    <t>16.49</t>
  </si>
  <si>
    <t>8.90</t>
  </si>
  <si>
    <t>16.56</t>
  </si>
  <si>
    <t>16.67</t>
  </si>
  <si>
    <t>4.23</t>
  </si>
  <si>
    <t>8.98</t>
  </si>
  <si>
    <t>16.70</t>
  </si>
  <si>
    <t>14.28</t>
  </si>
  <si>
    <t>14.25</t>
  </si>
  <si>
    <t>9.01</t>
  </si>
  <si>
    <t>9.47</t>
  </si>
  <si>
    <t>14.45</t>
  </si>
  <si>
    <t>9.10</t>
  </si>
  <si>
    <t>9.12</t>
  </si>
  <si>
    <t>9.57</t>
  </si>
  <si>
    <t>14.61</t>
  </si>
  <si>
    <t>9.56</t>
  </si>
  <si>
    <t>14.53</t>
  </si>
  <si>
    <t>9.15</t>
  </si>
  <si>
    <t>-0.98</t>
  </si>
  <si>
    <t>14.57</t>
  </si>
  <si>
    <t>-1.05</t>
  </si>
  <si>
    <t>9.60</t>
  </si>
  <si>
    <t>14.89</t>
  </si>
  <si>
    <t>15.03</t>
  </si>
  <si>
    <t>15.16</t>
  </si>
  <si>
    <t>9.41</t>
  </si>
  <si>
    <t>15.38</t>
  </si>
  <si>
    <t>10.16</t>
  </si>
  <si>
    <t>10.28</t>
  </si>
  <si>
    <t>15.41</t>
  </si>
  <si>
    <t>10.34</t>
  </si>
  <si>
    <t>10.41</t>
  </si>
  <si>
    <t>15.80</t>
  </si>
  <si>
    <t>10.62</t>
  </si>
  <si>
    <t>16.95</t>
  </si>
  <si>
    <t>10.65</t>
  </si>
  <si>
    <t>10.85</t>
  </si>
  <si>
    <t>17.97</t>
  </si>
  <si>
    <t>0.06</t>
  </si>
  <si>
    <t>10.84</t>
  </si>
  <si>
    <t>17.96</t>
  </si>
  <si>
    <t>0.69</t>
  </si>
  <si>
    <t>17.88</t>
  </si>
  <si>
    <t>17.90</t>
  </si>
  <si>
    <t>10.87</t>
  </si>
  <si>
    <t>18.01</t>
  </si>
  <si>
    <t>17.42</t>
  </si>
  <si>
    <t>10.88</t>
  </si>
  <si>
    <t>18.07</t>
  </si>
  <si>
    <t>17.45</t>
  </si>
  <si>
    <t>10.86</t>
  </si>
  <si>
    <t>10.80</t>
  </si>
  <si>
    <t>10.81</t>
  </si>
  <si>
    <t>18.11</t>
  </si>
  <si>
    <t>10.82</t>
  </si>
  <si>
    <t>10.79</t>
  </si>
  <si>
    <t>18.15</t>
  </si>
  <si>
    <t>17.25</t>
  </si>
  <si>
    <t>10.76</t>
  </si>
  <si>
    <t>18.16</t>
  </si>
  <si>
    <t>0.44</t>
  </si>
  <si>
    <t>10.75</t>
  </si>
  <si>
    <t>18.17</t>
  </si>
  <si>
    <t>17.12</t>
  </si>
  <si>
    <t>18.21</t>
  </si>
  <si>
    <t>10.77</t>
  </si>
  <si>
    <t>18.26</t>
  </si>
  <si>
    <t>18.31</t>
  </si>
  <si>
    <t>0.32</t>
  </si>
  <si>
    <t>18.35</t>
  </si>
  <si>
    <t>18.37</t>
  </si>
  <si>
    <t>9.68</t>
  </si>
  <si>
    <t>15.12</t>
  </si>
  <si>
    <t>5.03</t>
  </si>
  <si>
    <t>9.76</t>
  </si>
  <si>
    <t>14.99</t>
  </si>
  <si>
    <t>5.01</t>
  </si>
  <si>
    <t>15.27</t>
  </si>
  <si>
    <t>4.91</t>
  </si>
  <si>
    <t>9.93</t>
  </si>
  <si>
    <t>15.29</t>
  </si>
  <si>
    <t>4.89</t>
  </si>
  <si>
    <t>10.02</t>
  </si>
  <si>
    <t>15.36</t>
  </si>
  <si>
    <t>4.84</t>
  </si>
  <si>
    <t>10.10</t>
  </si>
  <si>
    <t>15.49</t>
  </si>
  <si>
    <t>4.81</t>
  </si>
  <si>
    <t>10.12</t>
  </si>
  <si>
    <t>4.79</t>
  </si>
  <si>
    <t>15.14</t>
  </si>
  <si>
    <t>4.99</t>
  </si>
  <si>
    <t>10.18</t>
  </si>
  <si>
    <t>10.24</t>
  </si>
  <si>
    <t>15.55</t>
  </si>
  <si>
    <t>15.15</t>
  </si>
  <si>
    <t>10.27</t>
  </si>
  <si>
    <t>15.63</t>
  </si>
  <si>
    <t>5.00</t>
  </si>
  <si>
    <t>10.31</t>
  </si>
  <si>
    <t>15.74</t>
  </si>
  <si>
    <t>5.02</t>
  </si>
  <si>
    <t>5.19</t>
  </si>
  <si>
    <t>10.33</t>
  </si>
  <si>
    <t>15.69</t>
  </si>
  <si>
    <t>10.36</t>
  </si>
  <si>
    <t>15.75</t>
  </si>
  <si>
    <t>10.38</t>
  </si>
  <si>
    <t>15.99</t>
  </si>
  <si>
    <t>15.96</t>
  </si>
  <si>
    <t>5.95</t>
  </si>
  <si>
    <t>8.23</t>
  </si>
  <si>
    <t>12.12</t>
  </si>
  <si>
    <t>3.85</t>
  </si>
  <si>
    <t>-0.85</t>
  </si>
  <si>
    <t>8.29</t>
  </si>
  <si>
    <t>8.35</t>
  </si>
  <si>
    <t>12.89</t>
  </si>
  <si>
    <t>12.67</t>
  </si>
  <si>
    <t>13.55</t>
  </si>
  <si>
    <t>8.42</t>
  </si>
  <si>
    <t>8.51</t>
  </si>
  <si>
    <t>14.71</t>
  </si>
  <si>
    <t>8.49</t>
  </si>
  <si>
    <t>14.02</t>
  </si>
  <si>
    <t>3.83</t>
  </si>
  <si>
    <t>-1.27</t>
  </si>
  <si>
    <t>8.54</t>
  </si>
  <si>
    <t>14.92</t>
  </si>
  <si>
    <t>8.52</t>
  </si>
  <si>
    <t>15.04</t>
  </si>
  <si>
    <t>8.60</t>
  </si>
  <si>
    <t>8.63</t>
  </si>
  <si>
    <t>15.20</t>
  </si>
  <si>
    <t>8.68</t>
  </si>
  <si>
    <t>15.83</t>
  </si>
  <si>
    <t>1.32</t>
  </si>
  <si>
    <t>16.42</t>
  </si>
  <si>
    <t>10.78</t>
  </si>
  <si>
    <t>15.81</t>
  </si>
  <si>
    <t>10.83</t>
  </si>
  <si>
    <t>16.21</t>
  </si>
  <si>
    <t>16.68</t>
  </si>
  <si>
    <t>16.83</t>
  </si>
  <si>
    <t>10.89</t>
  </si>
  <si>
    <t>16.57</t>
  </si>
  <si>
    <t>10.90</t>
  </si>
  <si>
    <t>16.80</t>
  </si>
  <si>
    <t>16.81</t>
  </si>
  <si>
    <t>16.90</t>
  </si>
  <si>
    <t>16.85</t>
  </si>
  <si>
    <t>16.74</t>
  </si>
  <si>
    <t>0.08</t>
  </si>
  <si>
    <t>10.92</t>
  </si>
  <si>
    <t>17.50</t>
  </si>
  <si>
    <t>10.94</t>
  </si>
  <si>
    <t>17.65</t>
  </si>
  <si>
    <t>0.41</t>
  </si>
  <si>
    <t>16.46</t>
  </si>
  <si>
    <t>16.87</t>
  </si>
  <si>
    <t>0.30</t>
  </si>
  <si>
    <t>9.84</t>
  </si>
  <si>
    <t>17.27</t>
  </si>
  <si>
    <t>17.31</t>
  </si>
  <si>
    <t>9.97</t>
  </si>
  <si>
    <t>10.01</t>
  </si>
  <si>
    <t>10.08</t>
  </si>
  <si>
    <t>0.64</t>
  </si>
  <si>
    <t>-0.00</t>
  </si>
  <si>
    <t>10.11</t>
  </si>
  <si>
    <t>17.54</t>
  </si>
  <si>
    <t>17.53</t>
  </si>
  <si>
    <t>1.11</t>
  </si>
  <si>
    <t>10.23</t>
  </si>
  <si>
    <t>1.29</t>
  </si>
  <si>
    <t>10.25</t>
  </si>
  <si>
    <t>1.74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</si>
</sst>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-_ ;_ * #,##0.00\-_ ;_ * &quot;-&quot;??_-_ ;_ @_ "/>
  </numFmts>
  <fonts count="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178"/>
      <scheme val="minor"/>
    </font>
    <font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164" fontId="0" fillId="0" borderId="0" xfId="1" applyFont="1"/>
    <xf numFmtId="0" fontId="2" fillId="0" borderId="0" xfId="2"/>
    <xf numFmtId="14" fontId="2" fillId="0" borderId="0" xfId="2" applyNumberFormat="1"/>
    <xf numFmtId="164" fontId="0" fillId="2" borderId="0" xfId="1" applyFont="1" applyFill="1"/>
    <xf numFmtId="0" fontId="0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3" fontId="0" fillId="0" borderId="0" xfId="0" applyNumberFormat="1"/>
    <xf numFmtId="0" fontId="4" fillId="0" borderId="0" xfId="0" applyFont="1"/>
  </cellXfs>
  <cellStyles count="3">
    <cellStyle name="Comma" xfId="1" builtinId="3"/>
    <cellStyle name="Normal" xfId="0" builtinId="0"/>
    <cellStyle name="Normal 2" xfId="2" xr:uid="{85F2E71B-E089-4AE2-BE99-C5EC3BC88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431A-AFC1-413E-8594-BA69C3DD076D}">
  <dimension ref="A1:T200"/>
  <sheetViews>
    <sheetView tabSelected="1" workbookViewId="0">
      <selection activeCell="I9" sqref="I9:I10"/>
    </sheetView>
  </sheetViews>
  <sheetFormatPr defaultRowHeight="14.4"/>
  <cols>
    <col min="1" max="1" width="11.88671875" style="1" bestFit="1" customWidth="1"/>
    <col min="2" max="2" width="5" style="5" bestFit="1" customWidth="1"/>
    <col min="3" max="3" width="6.33203125" style="1" bestFit="1" customWidth="1"/>
    <col min="4" max="4" width="8.44140625" style="1" bestFit="1" customWidth="1"/>
    <col min="5" max="5" width="15.33203125" style="1" bestFit="1" customWidth="1"/>
    <col min="6" max="6" width="13.44140625" style="1" bestFit="1" customWidth="1"/>
    <col min="7" max="7" width="10.5546875" bestFit="1" customWidth="1"/>
    <col min="21" max="21" width="2" bestFit="1" customWidth="1"/>
  </cols>
  <sheetData>
    <row r="1" spans="1:7">
      <c r="A1" s="1" t="s">
        <v>584</v>
      </c>
      <c r="B1" s="5" t="s">
        <v>585</v>
      </c>
      <c r="C1" s="1" t="s">
        <v>586</v>
      </c>
      <c r="D1" s="1" t="s">
        <v>587</v>
      </c>
      <c r="E1" s="1" t="s">
        <v>588</v>
      </c>
      <c r="F1" s="1" t="s">
        <v>583</v>
      </c>
      <c r="G1" t="s">
        <v>837</v>
      </c>
    </row>
    <row r="2" spans="1:7">
      <c r="A2" s="1" t="s">
        <v>25</v>
      </c>
      <c r="B2" s="5">
        <v>2002</v>
      </c>
      <c r="C2" t="s">
        <v>669</v>
      </c>
      <c r="D2" t="s">
        <v>839</v>
      </c>
      <c r="E2" t="s">
        <v>620</v>
      </c>
      <c r="F2" t="s">
        <v>840</v>
      </c>
      <c r="G2" t="s">
        <v>725</v>
      </c>
    </row>
    <row r="3" spans="1:7">
      <c r="A3" s="1" t="s">
        <v>25</v>
      </c>
      <c r="B3" s="5">
        <v>2003</v>
      </c>
      <c r="C3" t="s">
        <v>841</v>
      </c>
      <c r="D3" t="s">
        <v>842</v>
      </c>
      <c r="E3" t="s">
        <v>621</v>
      </c>
      <c r="F3" t="s">
        <v>605</v>
      </c>
      <c r="G3" t="s">
        <v>773</v>
      </c>
    </row>
    <row r="4" spans="1:7">
      <c r="A4" s="1" t="s">
        <v>25</v>
      </c>
      <c r="B4" s="5">
        <v>2004</v>
      </c>
      <c r="C4" t="s">
        <v>843</v>
      </c>
      <c r="D4" t="s">
        <v>844</v>
      </c>
      <c r="E4" t="s">
        <v>622</v>
      </c>
      <c r="F4" t="s">
        <v>605</v>
      </c>
      <c r="G4" t="s">
        <v>678</v>
      </c>
    </row>
    <row r="5" spans="1:7">
      <c r="A5" s="1" t="s">
        <v>25</v>
      </c>
      <c r="B5" s="5">
        <v>2005</v>
      </c>
      <c r="C5" t="s">
        <v>845</v>
      </c>
      <c r="D5" t="s">
        <v>846</v>
      </c>
      <c r="E5" t="s">
        <v>623</v>
      </c>
      <c r="F5" t="s">
        <v>609</v>
      </c>
      <c r="G5" t="s">
        <v>847</v>
      </c>
    </row>
    <row r="6" spans="1:7">
      <c r="A6" s="1" t="s">
        <v>25</v>
      </c>
      <c r="B6" s="5">
        <v>2006</v>
      </c>
      <c r="C6" t="s">
        <v>848</v>
      </c>
      <c r="D6" t="s">
        <v>849</v>
      </c>
      <c r="E6" t="s">
        <v>624</v>
      </c>
      <c r="F6" t="s">
        <v>636</v>
      </c>
      <c r="G6" t="s">
        <v>614</v>
      </c>
    </row>
    <row r="7" spans="1:7">
      <c r="A7" s="1" t="s">
        <v>25</v>
      </c>
      <c r="B7" s="5">
        <v>2007</v>
      </c>
      <c r="C7" t="s">
        <v>850</v>
      </c>
      <c r="D7" t="s">
        <v>851</v>
      </c>
      <c r="E7" t="s">
        <v>616</v>
      </c>
      <c r="F7" t="s">
        <v>852</v>
      </c>
      <c r="G7" t="s">
        <v>773</v>
      </c>
    </row>
    <row r="8" spans="1:7">
      <c r="A8" s="1" t="s">
        <v>25</v>
      </c>
      <c r="B8" s="5">
        <v>2008</v>
      </c>
      <c r="C8" t="s">
        <v>853</v>
      </c>
      <c r="D8" t="s">
        <v>854</v>
      </c>
      <c r="E8" t="s">
        <v>627</v>
      </c>
      <c r="F8" t="s">
        <v>597</v>
      </c>
      <c r="G8" t="s">
        <v>674</v>
      </c>
    </row>
    <row r="9" spans="1:7">
      <c r="A9" s="1" t="s">
        <v>25</v>
      </c>
      <c r="B9" s="5">
        <v>2009</v>
      </c>
      <c r="C9" t="s">
        <v>855</v>
      </c>
      <c r="D9" t="s">
        <v>856</v>
      </c>
      <c r="E9" t="s">
        <v>629</v>
      </c>
      <c r="F9" t="s">
        <v>857</v>
      </c>
      <c r="G9" t="s">
        <v>773</v>
      </c>
    </row>
    <row r="10" spans="1:7">
      <c r="A10" s="1" t="s">
        <v>25</v>
      </c>
      <c r="B10" s="5">
        <v>2010</v>
      </c>
      <c r="C10" t="s">
        <v>858</v>
      </c>
      <c r="D10" t="s">
        <v>859</v>
      </c>
      <c r="E10" t="s">
        <v>631</v>
      </c>
      <c r="F10" t="s">
        <v>857</v>
      </c>
      <c r="G10" t="s">
        <v>614</v>
      </c>
    </row>
    <row r="11" spans="1:7">
      <c r="A11" s="1" t="s">
        <v>25</v>
      </c>
      <c r="B11" s="5">
        <v>2011</v>
      </c>
      <c r="C11" t="s">
        <v>860</v>
      </c>
      <c r="D11" t="s">
        <v>861</v>
      </c>
      <c r="E11" t="s">
        <v>633</v>
      </c>
      <c r="F11" t="s">
        <v>631</v>
      </c>
      <c r="G11" t="s">
        <v>730</v>
      </c>
    </row>
    <row r="12" spans="1:7">
      <c r="A12" s="1" t="s">
        <v>25</v>
      </c>
      <c r="B12" s="5">
        <v>2012</v>
      </c>
      <c r="C12" t="s">
        <v>858</v>
      </c>
      <c r="D12" t="s">
        <v>862</v>
      </c>
      <c r="E12" t="s">
        <v>634</v>
      </c>
      <c r="F12" t="s">
        <v>631</v>
      </c>
      <c r="G12" t="s">
        <v>773</v>
      </c>
    </row>
    <row r="13" spans="1:7">
      <c r="A13" s="1" t="s">
        <v>25</v>
      </c>
      <c r="B13" s="5">
        <v>2013</v>
      </c>
      <c r="C13" t="s">
        <v>863</v>
      </c>
      <c r="D13" t="s">
        <v>864</v>
      </c>
      <c r="E13" t="s">
        <v>635</v>
      </c>
      <c r="F13" t="s">
        <v>631</v>
      </c>
      <c r="G13" t="s">
        <v>690</v>
      </c>
    </row>
    <row r="14" spans="1:7">
      <c r="A14" s="1" t="s">
        <v>25</v>
      </c>
      <c r="B14" s="5">
        <v>2014</v>
      </c>
      <c r="C14" t="s">
        <v>866</v>
      </c>
      <c r="D14" t="s">
        <v>867</v>
      </c>
      <c r="E14" t="s">
        <v>637</v>
      </c>
      <c r="F14" t="s">
        <v>631</v>
      </c>
      <c r="G14" t="s">
        <v>868</v>
      </c>
    </row>
    <row r="15" spans="1:7">
      <c r="A15" s="1" t="s">
        <v>25</v>
      </c>
      <c r="B15" s="5">
        <v>2015</v>
      </c>
      <c r="C15" t="s">
        <v>866</v>
      </c>
      <c r="D15" t="s">
        <v>869</v>
      </c>
      <c r="E15" t="s">
        <v>638</v>
      </c>
      <c r="F15" t="s">
        <v>738</v>
      </c>
      <c r="G15" t="s">
        <v>634</v>
      </c>
    </row>
    <row r="16" spans="1:7">
      <c r="A16" s="1" t="s">
        <v>25</v>
      </c>
      <c r="B16" s="5">
        <v>2016</v>
      </c>
      <c r="C16" t="s">
        <v>870</v>
      </c>
      <c r="D16" t="s">
        <v>871</v>
      </c>
      <c r="E16" t="s">
        <v>640</v>
      </c>
      <c r="F16" t="s">
        <v>747</v>
      </c>
      <c r="G16" t="s">
        <v>653</v>
      </c>
    </row>
    <row r="17" spans="1:7">
      <c r="A17" s="1" t="s">
        <v>25</v>
      </c>
      <c r="B17" s="5">
        <v>2017</v>
      </c>
      <c r="C17" t="s">
        <v>870</v>
      </c>
      <c r="D17" t="s">
        <v>872</v>
      </c>
      <c r="E17" t="s">
        <v>641</v>
      </c>
      <c r="F17" t="s">
        <v>873</v>
      </c>
      <c r="G17" t="s">
        <v>874</v>
      </c>
    </row>
    <row r="18" spans="1:7">
      <c r="A18" s="1" t="s">
        <v>25</v>
      </c>
      <c r="B18" s="5">
        <v>2018</v>
      </c>
      <c r="C18" t="s">
        <v>870</v>
      </c>
      <c r="D18" t="s">
        <v>875</v>
      </c>
      <c r="E18" t="s">
        <v>642</v>
      </c>
      <c r="F18" t="s">
        <v>743</v>
      </c>
      <c r="G18" t="s">
        <v>771</v>
      </c>
    </row>
    <row r="19" spans="1:7">
      <c r="A19" s="1" t="s">
        <v>25</v>
      </c>
      <c r="B19" s="5">
        <v>2019</v>
      </c>
      <c r="C19" t="s">
        <v>876</v>
      </c>
      <c r="D19" t="s">
        <v>877</v>
      </c>
      <c r="E19" t="s">
        <v>643</v>
      </c>
      <c r="F19" t="s">
        <v>743</v>
      </c>
      <c r="G19" t="s">
        <v>676</v>
      </c>
    </row>
    <row r="20" spans="1:7">
      <c r="A20" s="1" t="s">
        <v>27</v>
      </c>
      <c r="B20" s="5">
        <v>2002</v>
      </c>
      <c r="C20" t="s">
        <v>878</v>
      </c>
      <c r="D20" t="s">
        <v>879</v>
      </c>
      <c r="E20" t="s">
        <v>627</v>
      </c>
      <c r="F20" t="s">
        <v>880</v>
      </c>
      <c r="G20" t="s">
        <v>725</v>
      </c>
    </row>
    <row r="21" spans="1:7">
      <c r="A21" s="1" t="s">
        <v>27</v>
      </c>
      <c r="B21" s="5">
        <v>2003</v>
      </c>
      <c r="C21" t="s">
        <v>881</v>
      </c>
      <c r="D21" t="s">
        <v>882</v>
      </c>
      <c r="E21" t="s">
        <v>646</v>
      </c>
      <c r="F21" t="s">
        <v>880</v>
      </c>
      <c r="G21" t="s">
        <v>773</v>
      </c>
    </row>
    <row r="22" spans="1:7">
      <c r="A22" s="1" t="s">
        <v>27</v>
      </c>
      <c r="B22" s="5">
        <v>2004</v>
      </c>
      <c r="C22" t="s">
        <v>883</v>
      </c>
      <c r="D22" t="s">
        <v>884</v>
      </c>
      <c r="E22" t="s">
        <v>648</v>
      </c>
      <c r="F22" t="s">
        <v>880</v>
      </c>
      <c r="G22" t="s">
        <v>678</v>
      </c>
    </row>
    <row r="23" spans="1:7">
      <c r="A23" s="1" t="s">
        <v>27</v>
      </c>
      <c r="B23" s="5">
        <v>2005</v>
      </c>
      <c r="C23" t="s">
        <v>885</v>
      </c>
      <c r="D23" t="s">
        <v>886</v>
      </c>
      <c r="E23" t="s">
        <v>650</v>
      </c>
      <c r="F23" t="s">
        <v>756</v>
      </c>
      <c r="G23" t="s">
        <v>847</v>
      </c>
    </row>
    <row r="24" spans="1:7">
      <c r="A24" s="1" t="s">
        <v>27</v>
      </c>
      <c r="B24" s="5">
        <v>2006</v>
      </c>
      <c r="C24" t="s">
        <v>887</v>
      </c>
      <c r="D24" t="s">
        <v>888</v>
      </c>
      <c r="E24" t="s">
        <v>653</v>
      </c>
      <c r="F24" t="s">
        <v>758</v>
      </c>
      <c r="G24" t="s">
        <v>614</v>
      </c>
    </row>
    <row r="25" spans="1:7">
      <c r="A25" s="1" t="s">
        <v>27</v>
      </c>
      <c r="B25" s="5">
        <v>2007</v>
      </c>
      <c r="C25" t="s">
        <v>890</v>
      </c>
      <c r="D25" t="s">
        <v>891</v>
      </c>
      <c r="E25" t="s">
        <v>650</v>
      </c>
      <c r="F25" t="s">
        <v>892</v>
      </c>
      <c r="G25" t="s">
        <v>773</v>
      </c>
    </row>
    <row r="26" spans="1:7">
      <c r="A26" s="1" t="s">
        <v>27</v>
      </c>
      <c r="B26" s="5">
        <v>2008</v>
      </c>
      <c r="C26" t="s">
        <v>893</v>
      </c>
      <c r="D26" t="s">
        <v>894</v>
      </c>
      <c r="E26" t="s">
        <v>656</v>
      </c>
      <c r="F26" t="s">
        <v>895</v>
      </c>
      <c r="G26" t="s">
        <v>674</v>
      </c>
    </row>
    <row r="27" spans="1:7">
      <c r="A27" s="1" t="s">
        <v>27</v>
      </c>
      <c r="B27" s="5">
        <v>2009</v>
      </c>
      <c r="C27" t="s">
        <v>896</v>
      </c>
      <c r="D27" s="1" t="s">
        <v>897</v>
      </c>
      <c r="E27" t="s">
        <v>618</v>
      </c>
      <c r="F27" t="s">
        <v>898</v>
      </c>
      <c r="G27" t="s">
        <v>773</v>
      </c>
    </row>
    <row r="28" spans="1:7">
      <c r="A28" s="1" t="s">
        <v>27</v>
      </c>
      <c r="B28" s="5">
        <v>2010</v>
      </c>
      <c r="C28" t="s">
        <v>899</v>
      </c>
      <c r="D28" t="s">
        <v>900</v>
      </c>
      <c r="E28" t="s">
        <v>658</v>
      </c>
      <c r="F28" t="s">
        <v>901</v>
      </c>
      <c r="G28" t="s">
        <v>614</v>
      </c>
    </row>
    <row r="29" spans="1:7">
      <c r="A29" s="1" t="s">
        <v>27</v>
      </c>
      <c r="B29" s="5">
        <v>2011</v>
      </c>
      <c r="C29" t="s">
        <v>902</v>
      </c>
      <c r="D29" t="s">
        <v>903</v>
      </c>
      <c r="E29" t="s">
        <v>659</v>
      </c>
      <c r="F29" t="s">
        <v>904</v>
      </c>
      <c r="G29" t="s">
        <v>730</v>
      </c>
    </row>
    <row r="30" spans="1:7">
      <c r="A30" s="1" t="s">
        <v>27</v>
      </c>
      <c r="B30" s="5">
        <v>2012</v>
      </c>
      <c r="C30" t="s">
        <v>905</v>
      </c>
      <c r="D30" t="s">
        <v>891</v>
      </c>
      <c r="E30" t="s">
        <v>653</v>
      </c>
      <c r="F30" t="s">
        <v>774</v>
      </c>
      <c r="G30" t="s">
        <v>773</v>
      </c>
    </row>
    <row r="31" spans="1:7">
      <c r="A31" s="1" t="s">
        <v>27</v>
      </c>
      <c r="B31" s="5">
        <v>2013</v>
      </c>
      <c r="C31" t="s">
        <v>906</v>
      </c>
      <c r="D31" t="s">
        <v>894</v>
      </c>
      <c r="E31" t="s">
        <v>653</v>
      </c>
      <c r="F31" t="s">
        <v>907</v>
      </c>
      <c r="G31" t="s">
        <v>690</v>
      </c>
    </row>
    <row r="32" spans="1:7">
      <c r="A32" s="1" t="s">
        <v>27</v>
      </c>
      <c r="B32" s="5">
        <v>2014</v>
      </c>
      <c r="C32" t="s">
        <v>908</v>
      </c>
      <c r="D32" t="s">
        <v>909</v>
      </c>
      <c r="E32" t="s">
        <v>663</v>
      </c>
      <c r="F32" t="s">
        <v>907</v>
      </c>
      <c r="G32" t="s">
        <v>868</v>
      </c>
    </row>
    <row r="33" spans="1:7">
      <c r="A33" s="1" t="s">
        <v>27</v>
      </c>
      <c r="B33" s="5">
        <v>2015</v>
      </c>
      <c r="C33" t="s">
        <v>910</v>
      </c>
      <c r="D33" t="s">
        <v>900</v>
      </c>
      <c r="E33" t="s">
        <v>665</v>
      </c>
      <c r="F33" t="s">
        <v>726</v>
      </c>
      <c r="G33" t="s">
        <v>634</v>
      </c>
    </row>
    <row r="34" spans="1:7">
      <c r="A34" s="1" t="s">
        <v>27</v>
      </c>
      <c r="B34" s="5">
        <v>2016</v>
      </c>
      <c r="C34" t="s">
        <v>911</v>
      </c>
      <c r="D34" t="s">
        <v>912</v>
      </c>
      <c r="E34" t="s">
        <v>650</v>
      </c>
      <c r="F34" t="s">
        <v>913</v>
      </c>
      <c r="G34" t="s">
        <v>653</v>
      </c>
    </row>
    <row r="35" spans="1:7">
      <c r="A35" s="1" t="s">
        <v>27</v>
      </c>
      <c r="B35" s="5">
        <v>2017</v>
      </c>
      <c r="C35" t="s">
        <v>914</v>
      </c>
      <c r="D35" t="s">
        <v>915</v>
      </c>
      <c r="E35" t="s">
        <v>668</v>
      </c>
      <c r="F35" t="s">
        <v>901</v>
      </c>
      <c r="G35" t="s">
        <v>874</v>
      </c>
    </row>
    <row r="36" spans="1:7">
      <c r="A36" s="1" t="s">
        <v>27</v>
      </c>
      <c r="B36" s="5">
        <v>2018</v>
      </c>
      <c r="C36" t="s">
        <v>916</v>
      </c>
      <c r="D36" t="s">
        <v>889</v>
      </c>
      <c r="E36" t="s">
        <v>613</v>
      </c>
      <c r="F36" t="s">
        <v>913</v>
      </c>
      <c r="G36" t="s">
        <v>771</v>
      </c>
    </row>
    <row r="37" spans="1:7">
      <c r="A37" s="1" t="s">
        <v>27</v>
      </c>
      <c r="B37" s="5">
        <v>2019</v>
      </c>
      <c r="C37" t="s">
        <v>917</v>
      </c>
      <c r="D37" t="s">
        <v>918</v>
      </c>
      <c r="E37" t="s">
        <v>590</v>
      </c>
      <c r="F37" t="s">
        <v>919</v>
      </c>
      <c r="G37" t="s">
        <v>676</v>
      </c>
    </row>
    <row r="38" spans="1:7">
      <c r="A38" s="1" t="s">
        <v>43</v>
      </c>
      <c r="B38" s="5">
        <v>2002</v>
      </c>
      <c r="C38" t="s">
        <v>920</v>
      </c>
      <c r="D38" t="s">
        <v>921</v>
      </c>
      <c r="E38" t="s">
        <v>635</v>
      </c>
      <c r="F38" t="s">
        <v>922</v>
      </c>
      <c r="G38" t="s">
        <v>603</v>
      </c>
    </row>
    <row r="39" spans="1:7">
      <c r="A39" s="1" t="s">
        <v>43</v>
      </c>
      <c r="B39" s="5">
        <v>2003</v>
      </c>
      <c r="C39" t="s">
        <v>899</v>
      </c>
      <c r="D39" t="s">
        <v>924</v>
      </c>
      <c r="E39" t="s">
        <v>671</v>
      </c>
      <c r="F39" t="s">
        <v>722</v>
      </c>
      <c r="G39" t="s">
        <v>763</v>
      </c>
    </row>
    <row r="40" spans="1:7">
      <c r="A40" s="1" t="s">
        <v>43</v>
      </c>
      <c r="B40" s="5">
        <v>2004</v>
      </c>
      <c r="C40" t="s">
        <v>925</v>
      </c>
      <c r="D40" t="s">
        <v>926</v>
      </c>
      <c r="E40" t="s">
        <v>672</v>
      </c>
      <c r="F40" t="s">
        <v>907</v>
      </c>
      <c r="G40" t="s">
        <v>639</v>
      </c>
    </row>
    <row r="41" spans="1:7">
      <c r="A41" s="1" t="s">
        <v>43</v>
      </c>
      <c r="B41" s="5">
        <v>2005</v>
      </c>
      <c r="C41" t="s">
        <v>927</v>
      </c>
      <c r="D41" t="s">
        <v>928</v>
      </c>
      <c r="E41" t="s">
        <v>616</v>
      </c>
      <c r="F41" t="s">
        <v>929</v>
      </c>
      <c r="G41" t="s">
        <v>763</v>
      </c>
    </row>
    <row r="42" spans="1:7">
      <c r="A42" s="1" t="s">
        <v>43</v>
      </c>
      <c r="B42" s="5">
        <v>2006</v>
      </c>
      <c r="C42" t="s">
        <v>902</v>
      </c>
      <c r="D42" t="s">
        <v>931</v>
      </c>
      <c r="E42" t="s">
        <v>674</v>
      </c>
      <c r="F42" t="s">
        <v>929</v>
      </c>
      <c r="G42" t="s">
        <v>629</v>
      </c>
    </row>
    <row r="43" spans="1:7">
      <c r="A43" s="1" t="s">
        <v>43</v>
      </c>
      <c r="B43" s="5">
        <v>2007</v>
      </c>
      <c r="C43" t="s">
        <v>933</v>
      </c>
      <c r="D43" t="s">
        <v>934</v>
      </c>
      <c r="E43" t="s">
        <v>665</v>
      </c>
      <c r="F43" t="s">
        <v>720</v>
      </c>
      <c r="G43" t="s">
        <v>935</v>
      </c>
    </row>
    <row r="44" spans="1:7">
      <c r="A44" s="1" t="s">
        <v>43</v>
      </c>
      <c r="B44" s="5">
        <v>2008</v>
      </c>
      <c r="C44" t="s">
        <v>936</v>
      </c>
      <c r="D44" t="s">
        <v>937</v>
      </c>
      <c r="E44" t="s">
        <v>675</v>
      </c>
      <c r="F44" t="s">
        <v>710</v>
      </c>
      <c r="G44" t="s">
        <v>938</v>
      </c>
    </row>
    <row r="45" spans="1:7">
      <c r="A45" s="1" t="s">
        <v>43</v>
      </c>
      <c r="B45" s="5">
        <v>2009</v>
      </c>
      <c r="C45" t="s">
        <v>939</v>
      </c>
      <c r="D45" t="s">
        <v>940</v>
      </c>
      <c r="E45" t="s">
        <v>676</v>
      </c>
      <c r="F45" t="s">
        <v>941</v>
      </c>
      <c r="G45" t="s">
        <v>942</v>
      </c>
    </row>
    <row r="46" spans="1:7">
      <c r="A46" s="1" t="s">
        <v>43</v>
      </c>
      <c r="B46" s="5">
        <v>2010</v>
      </c>
      <c r="C46" t="s">
        <v>943</v>
      </c>
      <c r="D46" t="s">
        <v>944</v>
      </c>
      <c r="E46" t="s">
        <v>678</v>
      </c>
      <c r="F46" t="s">
        <v>720</v>
      </c>
      <c r="G46" t="s">
        <v>745</v>
      </c>
    </row>
    <row r="47" spans="1:7">
      <c r="A47" s="1" t="s">
        <v>43</v>
      </c>
      <c r="B47" s="5">
        <v>2011</v>
      </c>
      <c r="C47" t="s">
        <v>943</v>
      </c>
      <c r="D47" t="s">
        <v>945</v>
      </c>
      <c r="E47" t="s">
        <v>679</v>
      </c>
      <c r="F47" t="s">
        <v>946</v>
      </c>
      <c r="G47" t="s">
        <v>786</v>
      </c>
    </row>
    <row r="48" spans="1:7">
      <c r="A48" s="1" t="s">
        <v>43</v>
      </c>
      <c r="B48" s="5">
        <v>2012</v>
      </c>
      <c r="C48" t="s">
        <v>943</v>
      </c>
      <c r="D48" t="s">
        <v>948</v>
      </c>
      <c r="E48" t="s">
        <v>679</v>
      </c>
      <c r="F48" t="s">
        <v>949</v>
      </c>
      <c r="G48" t="s">
        <v>653</v>
      </c>
    </row>
    <row r="49" spans="1:7">
      <c r="A49" s="1" t="s">
        <v>43</v>
      </c>
      <c r="B49" s="5">
        <v>2013</v>
      </c>
      <c r="C49" t="s">
        <v>943</v>
      </c>
      <c r="D49" t="s">
        <v>950</v>
      </c>
      <c r="E49" t="s">
        <v>681</v>
      </c>
      <c r="F49" t="s">
        <v>919</v>
      </c>
      <c r="G49" t="s">
        <v>951</v>
      </c>
    </row>
    <row r="50" spans="1:7">
      <c r="A50" s="1" t="s">
        <v>43</v>
      </c>
      <c r="B50" s="5">
        <v>2014</v>
      </c>
      <c r="C50" t="s">
        <v>943</v>
      </c>
      <c r="D50" t="s">
        <v>952</v>
      </c>
      <c r="E50" t="s">
        <v>682</v>
      </c>
      <c r="F50" t="s">
        <v>953</v>
      </c>
      <c r="G50" t="s">
        <v>868</v>
      </c>
    </row>
    <row r="51" spans="1:7">
      <c r="A51" s="1" t="s">
        <v>43</v>
      </c>
      <c r="B51" s="5">
        <v>2015</v>
      </c>
      <c r="C51" t="s">
        <v>954</v>
      </c>
      <c r="D51" t="s">
        <v>955</v>
      </c>
      <c r="E51" t="s">
        <v>683</v>
      </c>
      <c r="F51" t="s">
        <v>956</v>
      </c>
      <c r="G51" t="s">
        <v>659</v>
      </c>
    </row>
    <row r="52" spans="1:7">
      <c r="A52" s="1" t="s">
        <v>43</v>
      </c>
      <c r="B52" s="5">
        <v>2016</v>
      </c>
      <c r="C52" t="s">
        <v>957</v>
      </c>
      <c r="D52" t="s">
        <v>958</v>
      </c>
      <c r="E52" t="s">
        <v>679</v>
      </c>
      <c r="F52" t="s">
        <v>959</v>
      </c>
      <c r="G52" t="s">
        <v>786</v>
      </c>
    </row>
    <row r="53" spans="1:7">
      <c r="A53" s="1" t="s">
        <v>43</v>
      </c>
      <c r="B53" s="5">
        <v>2017</v>
      </c>
      <c r="C53" t="s">
        <v>960</v>
      </c>
      <c r="D53" t="s">
        <v>961</v>
      </c>
      <c r="E53" t="s">
        <v>685</v>
      </c>
      <c r="F53" t="s">
        <v>962</v>
      </c>
      <c r="G53" t="s">
        <v>618</v>
      </c>
    </row>
    <row r="54" spans="1:7">
      <c r="A54" s="1" t="s">
        <v>43</v>
      </c>
      <c r="B54" s="5">
        <v>2018</v>
      </c>
      <c r="C54" t="s">
        <v>963</v>
      </c>
      <c r="D54" t="s">
        <v>964</v>
      </c>
      <c r="E54" t="s">
        <v>620</v>
      </c>
      <c r="F54" t="s">
        <v>962</v>
      </c>
      <c r="G54" t="s">
        <v>613</v>
      </c>
    </row>
    <row r="55" spans="1:7">
      <c r="A55" s="1" t="s">
        <v>43</v>
      </c>
      <c r="B55" s="5">
        <v>2019</v>
      </c>
      <c r="C55" t="s">
        <v>965</v>
      </c>
      <c r="D55" t="s">
        <v>966</v>
      </c>
      <c r="E55" t="s">
        <v>623</v>
      </c>
      <c r="F55" t="s">
        <v>967</v>
      </c>
      <c r="G55" t="s">
        <v>627</v>
      </c>
    </row>
    <row r="56" spans="1:7">
      <c r="A56" s="1" t="s">
        <v>30</v>
      </c>
      <c r="B56" s="5">
        <v>2002</v>
      </c>
      <c r="C56" t="s">
        <v>969</v>
      </c>
      <c r="D56" t="s">
        <v>970</v>
      </c>
      <c r="E56" t="s">
        <v>620</v>
      </c>
      <c r="F56" t="s">
        <v>662</v>
      </c>
      <c r="G56" t="s">
        <v>971</v>
      </c>
    </row>
    <row r="57" spans="1:7">
      <c r="A57" s="1" t="s">
        <v>30</v>
      </c>
      <c r="B57" s="5">
        <v>2003</v>
      </c>
      <c r="C57" t="s">
        <v>972</v>
      </c>
      <c r="D57" t="s">
        <v>973</v>
      </c>
      <c r="E57" t="s">
        <v>688</v>
      </c>
      <c r="F57" t="s">
        <v>673</v>
      </c>
      <c r="G57" t="s">
        <v>772</v>
      </c>
    </row>
    <row r="58" spans="1:7">
      <c r="A58" s="1" t="s">
        <v>30</v>
      </c>
      <c r="B58" s="5">
        <v>2004</v>
      </c>
      <c r="C58" t="s">
        <v>974</v>
      </c>
      <c r="D58" t="s">
        <v>975</v>
      </c>
      <c r="E58" t="s">
        <v>689</v>
      </c>
      <c r="F58" t="s">
        <v>670</v>
      </c>
      <c r="G58" t="s">
        <v>641</v>
      </c>
    </row>
    <row r="59" spans="1:7">
      <c r="A59" s="1" t="s">
        <v>30</v>
      </c>
      <c r="B59" s="5">
        <v>2005</v>
      </c>
      <c r="C59" t="s">
        <v>976</v>
      </c>
      <c r="D59" t="s">
        <v>977</v>
      </c>
      <c r="E59" t="s">
        <v>690</v>
      </c>
      <c r="F59" t="s">
        <v>978</v>
      </c>
      <c r="G59" t="s">
        <v>868</v>
      </c>
    </row>
    <row r="60" spans="1:7">
      <c r="A60" s="1" t="s">
        <v>30</v>
      </c>
      <c r="B60" s="5">
        <v>2006</v>
      </c>
      <c r="C60" t="s">
        <v>896</v>
      </c>
      <c r="D60" t="s">
        <v>979</v>
      </c>
      <c r="E60" t="s">
        <v>693</v>
      </c>
      <c r="F60" t="s">
        <v>980</v>
      </c>
      <c r="G60" t="s">
        <v>785</v>
      </c>
    </row>
    <row r="61" spans="1:7">
      <c r="A61" s="1" t="s">
        <v>30</v>
      </c>
      <c r="B61" s="5">
        <v>2007</v>
      </c>
      <c r="C61" t="s">
        <v>981</v>
      </c>
      <c r="D61" t="s">
        <v>982</v>
      </c>
      <c r="E61" t="s">
        <v>695</v>
      </c>
      <c r="F61" t="s">
        <v>749</v>
      </c>
      <c r="G61" t="s">
        <v>760</v>
      </c>
    </row>
    <row r="62" spans="1:7">
      <c r="A62" s="1" t="s">
        <v>30</v>
      </c>
      <c r="B62" s="5">
        <v>2008</v>
      </c>
      <c r="C62" t="s">
        <v>983</v>
      </c>
      <c r="D62" t="s">
        <v>984</v>
      </c>
      <c r="E62" t="s">
        <v>696</v>
      </c>
      <c r="F62" t="s">
        <v>707</v>
      </c>
      <c r="G62" t="s">
        <v>590</v>
      </c>
    </row>
    <row r="63" spans="1:7">
      <c r="A63" s="1" t="s">
        <v>30</v>
      </c>
      <c r="B63" s="5">
        <v>2009</v>
      </c>
      <c r="C63" t="s">
        <v>985</v>
      </c>
      <c r="D63" t="s">
        <v>986</v>
      </c>
      <c r="E63" t="s">
        <v>693</v>
      </c>
      <c r="F63" t="s">
        <v>749</v>
      </c>
      <c r="G63" t="s">
        <v>597</v>
      </c>
    </row>
    <row r="64" spans="1:7">
      <c r="A64" s="1" t="s">
        <v>30</v>
      </c>
      <c r="B64" s="5">
        <v>2010</v>
      </c>
      <c r="C64" t="s">
        <v>987</v>
      </c>
      <c r="D64" t="s">
        <v>988</v>
      </c>
      <c r="E64" t="s">
        <v>634</v>
      </c>
      <c r="F64" t="s">
        <v>980</v>
      </c>
      <c r="G64" t="s">
        <v>989</v>
      </c>
    </row>
    <row r="65" spans="1:7">
      <c r="A65" s="1" t="s">
        <v>30</v>
      </c>
      <c r="B65" s="5">
        <v>2011</v>
      </c>
      <c r="C65" t="s">
        <v>936</v>
      </c>
      <c r="D65" t="s">
        <v>872</v>
      </c>
      <c r="E65" t="s">
        <v>658</v>
      </c>
      <c r="F65" t="s">
        <v>759</v>
      </c>
      <c r="G65" t="s">
        <v>594</v>
      </c>
    </row>
    <row r="66" spans="1:7">
      <c r="A66" s="1" t="s">
        <v>30</v>
      </c>
      <c r="B66" s="5">
        <v>2012</v>
      </c>
      <c r="C66" t="s">
        <v>848</v>
      </c>
      <c r="D66" t="s">
        <v>990</v>
      </c>
      <c r="E66" t="s">
        <v>697</v>
      </c>
      <c r="F66" t="s">
        <v>748</v>
      </c>
      <c r="G66" t="s">
        <v>603</v>
      </c>
    </row>
    <row r="67" spans="1:7">
      <c r="A67" s="1" t="s">
        <v>30</v>
      </c>
      <c r="B67" s="5">
        <v>2013</v>
      </c>
      <c r="C67" t="s">
        <v>991</v>
      </c>
      <c r="D67" t="s">
        <v>932</v>
      </c>
      <c r="E67" t="s">
        <v>698</v>
      </c>
      <c r="F67" t="s">
        <v>749</v>
      </c>
      <c r="G67" t="s">
        <v>763</v>
      </c>
    </row>
    <row r="68" spans="1:7">
      <c r="A68" s="1" t="s">
        <v>30</v>
      </c>
      <c r="B68" s="5">
        <v>2014</v>
      </c>
      <c r="C68" t="s">
        <v>963</v>
      </c>
      <c r="D68" t="s">
        <v>992</v>
      </c>
      <c r="E68" t="s">
        <v>699</v>
      </c>
      <c r="F68" t="s">
        <v>778</v>
      </c>
      <c r="G68" t="s">
        <v>608</v>
      </c>
    </row>
    <row r="69" spans="1:7">
      <c r="A69" s="1" t="s">
        <v>30</v>
      </c>
      <c r="B69" s="5">
        <v>2015</v>
      </c>
      <c r="C69" t="s">
        <v>993</v>
      </c>
      <c r="D69" t="s">
        <v>994</v>
      </c>
      <c r="E69" t="s">
        <v>702</v>
      </c>
      <c r="F69" t="s">
        <v>666</v>
      </c>
      <c r="G69" t="s">
        <v>608</v>
      </c>
    </row>
    <row r="70" spans="1:7">
      <c r="A70" s="1" t="s">
        <v>30</v>
      </c>
      <c r="B70" s="5">
        <v>2016</v>
      </c>
      <c r="C70" t="s">
        <v>995</v>
      </c>
      <c r="D70" t="s">
        <v>958</v>
      </c>
      <c r="E70" t="s">
        <v>699</v>
      </c>
      <c r="F70" t="s">
        <v>996</v>
      </c>
      <c r="G70" t="s">
        <v>687</v>
      </c>
    </row>
    <row r="71" spans="1:7">
      <c r="A71" s="1" t="s">
        <v>30</v>
      </c>
      <c r="B71" s="5">
        <v>2017</v>
      </c>
      <c r="C71" t="s">
        <v>850</v>
      </c>
      <c r="D71" t="s">
        <v>997</v>
      </c>
      <c r="E71" t="s">
        <v>706</v>
      </c>
      <c r="F71" t="s">
        <v>644</v>
      </c>
      <c r="G71" t="s">
        <v>691</v>
      </c>
    </row>
    <row r="72" spans="1:7">
      <c r="A72" s="1" t="s">
        <v>30</v>
      </c>
      <c r="B72" s="5">
        <v>2018</v>
      </c>
      <c r="C72" t="s">
        <v>999</v>
      </c>
      <c r="D72" t="s">
        <v>1000</v>
      </c>
      <c r="E72" t="s">
        <v>618</v>
      </c>
      <c r="F72" t="s">
        <v>1001</v>
      </c>
      <c r="G72" t="s">
        <v>740</v>
      </c>
    </row>
    <row r="73" spans="1:7">
      <c r="A73" s="1" t="s">
        <v>30</v>
      </c>
      <c r="B73" s="5">
        <v>2019</v>
      </c>
      <c r="C73" t="s">
        <v>1002</v>
      </c>
      <c r="D73" t="s">
        <v>947</v>
      </c>
      <c r="E73" t="s">
        <v>650</v>
      </c>
      <c r="F73" t="s">
        <v>1003</v>
      </c>
      <c r="G73" t="s">
        <v>694</v>
      </c>
    </row>
    <row r="74" spans="1:7">
      <c r="A74" s="1" t="s">
        <v>32</v>
      </c>
      <c r="B74" s="5">
        <v>2002</v>
      </c>
      <c r="C74" t="s">
        <v>1004</v>
      </c>
      <c r="D74" t="s">
        <v>1005</v>
      </c>
      <c r="E74" t="s">
        <v>709</v>
      </c>
      <c r="F74" t="s">
        <v>1006</v>
      </c>
      <c r="G74" t="s">
        <v>605</v>
      </c>
    </row>
    <row r="75" spans="1:7">
      <c r="A75" s="1" t="s">
        <v>32</v>
      </c>
      <c r="B75" s="5">
        <v>2003</v>
      </c>
      <c r="C75" t="s">
        <v>651</v>
      </c>
      <c r="D75" t="s">
        <v>1008</v>
      </c>
      <c r="E75" t="s">
        <v>711</v>
      </c>
      <c r="F75" t="s">
        <v>652</v>
      </c>
      <c r="G75" t="s">
        <v>1009</v>
      </c>
    </row>
    <row r="76" spans="1:7">
      <c r="A76" s="1" t="s">
        <v>32</v>
      </c>
      <c r="B76" s="5">
        <v>2004</v>
      </c>
      <c r="C76" t="s">
        <v>654</v>
      </c>
      <c r="D76" t="s">
        <v>1010</v>
      </c>
      <c r="E76" t="s">
        <v>705</v>
      </c>
      <c r="F76" t="s">
        <v>686</v>
      </c>
      <c r="G76" t="s">
        <v>1011</v>
      </c>
    </row>
    <row r="77" spans="1:7">
      <c r="A77" s="1" t="s">
        <v>32</v>
      </c>
      <c r="B77" s="5">
        <v>2005</v>
      </c>
      <c r="C77" t="s">
        <v>655</v>
      </c>
      <c r="D77" t="s">
        <v>1012</v>
      </c>
      <c r="E77" t="s">
        <v>712</v>
      </c>
      <c r="F77" t="s">
        <v>649</v>
      </c>
      <c r="G77" t="s">
        <v>783</v>
      </c>
    </row>
    <row r="78" spans="1:7">
      <c r="A78" s="1" t="s">
        <v>32</v>
      </c>
      <c r="B78" s="5">
        <v>2006</v>
      </c>
      <c r="C78" t="s">
        <v>1013</v>
      </c>
      <c r="D78" t="s">
        <v>1014</v>
      </c>
      <c r="E78" t="s">
        <v>714</v>
      </c>
      <c r="F78" t="s">
        <v>686</v>
      </c>
      <c r="G78" t="s">
        <v>782</v>
      </c>
    </row>
    <row r="79" spans="1:7">
      <c r="A79" s="1" t="s">
        <v>32</v>
      </c>
      <c r="B79" s="5">
        <v>2007</v>
      </c>
      <c r="C79" t="s">
        <v>1015</v>
      </c>
      <c r="D79" t="s">
        <v>1016</v>
      </c>
      <c r="E79" t="s">
        <v>715</v>
      </c>
      <c r="F79" t="s">
        <v>718</v>
      </c>
      <c r="G79" t="s">
        <v>1018</v>
      </c>
    </row>
    <row r="80" spans="1:7">
      <c r="A80" s="1" t="s">
        <v>32</v>
      </c>
      <c r="B80" s="5">
        <v>2008</v>
      </c>
      <c r="C80" t="s">
        <v>1019</v>
      </c>
      <c r="D80" t="s">
        <v>1020</v>
      </c>
      <c r="E80" t="s">
        <v>716</v>
      </c>
      <c r="F80" t="s">
        <v>775</v>
      </c>
      <c r="G80" t="s">
        <v>1018</v>
      </c>
    </row>
    <row r="81" spans="1:7">
      <c r="A81" s="1" t="s">
        <v>32</v>
      </c>
      <c r="B81" s="5">
        <v>2009</v>
      </c>
      <c r="C81" t="s">
        <v>1021</v>
      </c>
      <c r="D81" t="s">
        <v>921</v>
      </c>
      <c r="E81" t="s">
        <v>717</v>
      </c>
      <c r="F81" t="s">
        <v>1006</v>
      </c>
      <c r="G81" t="s">
        <v>738</v>
      </c>
    </row>
    <row r="82" spans="1:7">
      <c r="A82" s="1" t="s">
        <v>32</v>
      </c>
      <c r="B82" s="5">
        <v>2010</v>
      </c>
      <c r="C82" t="s">
        <v>881</v>
      </c>
      <c r="D82" t="s">
        <v>1022</v>
      </c>
      <c r="E82" t="s">
        <v>705</v>
      </c>
      <c r="F82" t="s">
        <v>592</v>
      </c>
      <c r="G82" t="s">
        <v>750</v>
      </c>
    </row>
    <row r="83" spans="1:7">
      <c r="A83" s="1" t="s">
        <v>32</v>
      </c>
      <c r="B83" s="5">
        <v>2011</v>
      </c>
      <c r="C83" t="s">
        <v>1023</v>
      </c>
      <c r="D83" t="s">
        <v>1024</v>
      </c>
      <c r="E83" t="s">
        <v>719</v>
      </c>
      <c r="F83" t="s">
        <v>652</v>
      </c>
      <c r="G83" t="s">
        <v>628</v>
      </c>
    </row>
    <row r="84" spans="1:7">
      <c r="A84" s="1" t="s">
        <v>32</v>
      </c>
      <c r="B84" s="5">
        <v>2012</v>
      </c>
      <c r="C84" t="s">
        <v>1025</v>
      </c>
      <c r="D84" t="s">
        <v>1026</v>
      </c>
      <c r="E84" t="s">
        <v>700</v>
      </c>
      <c r="F84" t="s">
        <v>598</v>
      </c>
      <c r="G84" t="s">
        <v>609</v>
      </c>
    </row>
    <row r="85" spans="1:7">
      <c r="A85" s="1" t="s">
        <v>32</v>
      </c>
      <c r="B85" s="5">
        <v>2013</v>
      </c>
      <c r="C85" t="s">
        <v>1028</v>
      </c>
      <c r="D85" t="s">
        <v>1029</v>
      </c>
      <c r="E85" t="s">
        <v>721</v>
      </c>
      <c r="F85" t="s">
        <v>602</v>
      </c>
      <c r="G85" t="s">
        <v>625</v>
      </c>
    </row>
    <row r="86" spans="1:7">
      <c r="A86" s="1" t="s">
        <v>32</v>
      </c>
      <c r="B86" s="5">
        <v>2014</v>
      </c>
      <c r="C86" t="s">
        <v>1031</v>
      </c>
      <c r="D86" t="s">
        <v>1032</v>
      </c>
      <c r="E86" t="s">
        <v>724</v>
      </c>
      <c r="F86" t="s">
        <v>661</v>
      </c>
      <c r="G86" t="s">
        <v>596</v>
      </c>
    </row>
    <row r="87" spans="1:7">
      <c r="A87" s="1" t="s">
        <v>32</v>
      </c>
      <c r="B87" s="5">
        <v>2015</v>
      </c>
      <c r="C87" t="s">
        <v>1033</v>
      </c>
      <c r="D87" t="s">
        <v>968</v>
      </c>
      <c r="E87" t="s">
        <v>621</v>
      </c>
      <c r="F87" t="s">
        <v>664</v>
      </c>
      <c r="G87" t="s">
        <v>596</v>
      </c>
    </row>
    <row r="88" spans="1:7">
      <c r="A88" s="1" t="s">
        <v>32</v>
      </c>
      <c r="B88" s="5">
        <v>2016</v>
      </c>
      <c r="C88" t="s">
        <v>1034</v>
      </c>
      <c r="D88" t="s">
        <v>1035</v>
      </c>
      <c r="E88" t="s">
        <v>725</v>
      </c>
      <c r="F88" t="s">
        <v>619</v>
      </c>
      <c r="G88" t="s">
        <v>609</v>
      </c>
    </row>
    <row r="89" spans="1:7">
      <c r="A89" s="1" t="s">
        <v>32</v>
      </c>
      <c r="B89" s="5">
        <v>2017</v>
      </c>
      <c r="C89" t="s">
        <v>1036</v>
      </c>
      <c r="D89" t="s">
        <v>1037</v>
      </c>
      <c r="E89" t="s">
        <v>591</v>
      </c>
      <c r="F89" t="s">
        <v>617</v>
      </c>
      <c r="G89" t="s">
        <v>840</v>
      </c>
    </row>
    <row r="90" spans="1:7">
      <c r="A90" s="1" t="s">
        <v>32</v>
      </c>
      <c r="B90" s="5">
        <v>2018</v>
      </c>
      <c r="C90" t="s">
        <v>974</v>
      </c>
      <c r="D90" t="s">
        <v>1038</v>
      </c>
      <c r="E90" t="s">
        <v>724</v>
      </c>
      <c r="F90" t="s">
        <v>1039</v>
      </c>
      <c r="G90" t="s">
        <v>763</v>
      </c>
    </row>
    <row r="91" spans="1:7">
      <c r="A91" s="1" t="s">
        <v>32</v>
      </c>
      <c r="B91" s="5">
        <v>2019</v>
      </c>
      <c r="C91" t="s">
        <v>1040</v>
      </c>
      <c r="D91" t="s">
        <v>1041</v>
      </c>
      <c r="E91" t="s">
        <v>727</v>
      </c>
      <c r="F91" t="s">
        <v>626</v>
      </c>
      <c r="G91" t="s">
        <v>596</v>
      </c>
    </row>
    <row r="92" spans="1:7">
      <c r="A92" s="1" t="s">
        <v>44</v>
      </c>
      <c r="B92" s="5">
        <v>2002</v>
      </c>
      <c r="C92" t="s">
        <v>933</v>
      </c>
      <c r="D92" t="s">
        <v>1042</v>
      </c>
      <c r="E92" t="s">
        <v>591</v>
      </c>
      <c r="F92" t="s">
        <v>887</v>
      </c>
      <c r="G92" t="s">
        <v>672</v>
      </c>
    </row>
    <row r="93" spans="1:7">
      <c r="A93" s="1" t="s">
        <v>44</v>
      </c>
      <c r="B93" s="5">
        <v>2003</v>
      </c>
      <c r="C93" t="s">
        <v>939</v>
      </c>
      <c r="D93" t="s">
        <v>1043</v>
      </c>
      <c r="E93" t="s">
        <v>599</v>
      </c>
      <c r="F93" t="s">
        <v>1044</v>
      </c>
      <c r="G93" t="s">
        <v>697</v>
      </c>
    </row>
    <row r="94" spans="1:7">
      <c r="A94" s="1" t="s">
        <v>44</v>
      </c>
      <c r="B94" s="5">
        <v>2004</v>
      </c>
      <c r="C94" t="s">
        <v>1045</v>
      </c>
      <c r="D94" t="s">
        <v>865</v>
      </c>
      <c r="E94" t="s">
        <v>690</v>
      </c>
      <c r="F94" t="s">
        <v>893</v>
      </c>
      <c r="G94" t="s">
        <v>615</v>
      </c>
    </row>
    <row r="95" spans="1:7">
      <c r="A95" s="1" t="s">
        <v>44</v>
      </c>
      <c r="B95" s="5">
        <v>2005</v>
      </c>
      <c r="C95" t="s">
        <v>943</v>
      </c>
      <c r="D95" t="s">
        <v>1046</v>
      </c>
      <c r="E95" t="s">
        <v>599</v>
      </c>
      <c r="F95" t="s">
        <v>1047</v>
      </c>
      <c r="G95" t="s">
        <v>735</v>
      </c>
    </row>
    <row r="96" spans="1:7">
      <c r="A96" s="1" t="s">
        <v>44</v>
      </c>
      <c r="B96" s="5">
        <v>2006</v>
      </c>
      <c r="C96" t="s">
        <v>954</v>
      </c>
      <c r="D96" t="s">
        <v>1008</v>
      </c>
      <c r="E96" t="s">
        <v>728</v>
      </c>
      <c r="F96" t="s">
        <v>1048</v>
      </c>
      <c r="G96" t="s">
        <v>768</v>
      </c>
    </row>
    <row r="97" spans="1:7">
      <c r="A97" s="1" t="s">
        <v>44</v>
      </c>
      <c r="B97" s="5">
        <v>2007</v>
      </c>
      <c r="C97" t="s">
        <v>1049</v>
      </c>
      <c r="D97" t="s">
        <v>1050</v>
      </c>
      <c r="E97" t="s">
        <v>729</v>
      </c>
      <c r="F97" t="s">
        <v>896</v>
      </c>
      <c r="G97" t="s">
        <v>791</v>
      </c>
    </row>
    <row r="98" spans="1:7">
      <c r="A98" s="1" t="s">
        <v>44</v>
      </c>
      <c r="B98" s="5">
        <v>2008</v>
      </c>
      <c r="C98" t="s">
        <v>1051</v>
      </c>
      <c r="D98" t="s">
        <v>1052</v>
      </c>
      <c r="E98" t="s">
        <v>730</v>
      </c>
      <c r="F98" t="s">
        <v>1053</v>
      </c>
      <c r="G98" t="s">
        <v>1054</v>
      </c>
    </row>
    <row r="99" spans="1:7">
      <c r="A99" s="1" t="s">
        <v>44</v>
      </c>
      <c r="B99" s="5">
        <v>2009</v>
      </c>
      <c r="C99" t="s">
        <v>960</v>
      </c>
      <c r="D99" t="s">
        <v>1055</v>
      </c>
      <c r="E99" t="s">
        <v>731</v>
      </c>
      <c r="F99" t="s">
        <v>845</v>
      </c>
      <c r="G99" t="s">
        <v>1056</v>
      </c>
    </row>
    <row r="100" spans="1:7">
      <c r="A100" s="1" t="s">
        <v>44</v>
      </c>
      <c r="B100" s="5">
        <v>2010</v>
      </c>
      <c r="C100" t="s">
        <v>1057</v>
      </c>
      <c r="D100" t="s">
        <v>1058</v>
      </c>
      <c r="E100" t="s">
        <v>682</v>
      </c>
      <c r="F100" t="s">
        <v>899</v>
      </c>
      <c r="G100" t="s">
        <v>791</v>
      </c>
    </row>
    <row r="101" spans="1:7">
      <c r="A101" s="1" t="s">
        <v>44</v>
      </c>
      <c r="B101" s="5">
        <v>2011</v>
      </c>
      <c r="C101" t="s">
        <v>993</v>
      </c>
      <c r="D101" t="s">
        <v>1059</v>
      </c>
      <c r="E101" t="s">
        <v>732</v>
      </c>
      <c r="F101" t="s">
        <v>981</v>
      </c>
      <c r="G101" t="s">
        <v>693</v>
      </c>
    </row>
    <row r="102" spans="1:7">
      <c r="A102" s="1" t="s">
        <v>44</v>
      </c>
      <c r="B102" s="5">
        <v>2012</v>
      </c>
      <c r="C102" t="s">
        <v>1051</v>
      </c>
      <c r="D102" t="s">
        <v>1060</v>
      </c>
      <c r="E102" t="s">
        <v>733</v>
      </c>
      <c r="F102" t="s">
        <v>1061</v>
      </c>
      <c r="G102" t="s">
        <v>696</v>
      </c>
    </row>
    <row r="103" spans="1:7">
      <c r="A103" s="1" t="s">
        <v>44</v>
      </c>
      <c r="B103" s="5">
        <v>2013</v>
      </c>
      <c r="C103" t="s">
        <v>957</v>
      </c>
      <c r="D103" t="s">
        <v>1062</v>
      </c>
      <c r="E103" t="s">
        <v>734</v>
      </c>
      <c r="F103" t="s">
        <v>917</v>
      </c>
      <c r="G103" t="s">
        <v>724</v>
      </c>
    </row>
    <row r="104" spans="1:7">
      <c r="A104" s="1" t="s">
        <v>44</v>
      </c>
      <c r="B104" s="5">
        <v>2014</v>
      </c>
      <c r="C104" t="s">
        <v>1049</v>
      </c>
      <c r="D104" t="s">
        <v>932</v>
      </c>
      <c r="E104" t="s">
        <v>735</v>
      </c>
      <c r="F104" t="s">
        <v>1063</v>
      </c>
      <c r="G104" t="s">
        <v>1056</v>
      </c>
    </row>
    <row r="105" spans="1:7">
      <c r="A105" s="1" t="s">
        <v>44</v>
      </c>
      <c r="B105" s="5">
        <v>2015</v>
      </c>
      <c r="C105" t="s">
        <v>991</v>
      </c>
      <c r="D105" t="s">
        <v>994</v>
      </c>
      <c r="E105" t="s">
        <v>696</v>
      </c>
      <c r="F105" t="s">
        <v>1064</v>
      </c>
      <c r="G105" t="s">
        <v>730</v>
      </c>
    </row>
    <row r="106" spans="1:7">
      <c r="A106" s="1" t="s">
        <v>44</v>
      </c>
      <c r="B106" s="5">
        <v>2016</v>
      </c>
      <c r="C106" t="s">
        <v>993</v>
      </c>
      <c r="D106" t="s">
        <v>1065</v>
      </c>
      <c r="E106" t="s">
        <v>640</v>
      </c>
      <c r="F106" t="s">
        <v>1066</v>
      </c>
      <c r="G106" t="s">
        <v>868</v>
      </c>
    </row>
    <row r="107" spans="1:7">
      <c r="A107" s="1" t="s">
        <v>44</v>
      </c>
      <c r="B107" s="5">
        <v>2017</v>
      </c>
      <c r="C107" t="s">
        <v>965</v>
      </c>
      <c r="D107" t="s">
        <v>930</v>
      </c>
      <c r="E107" t="s">
        <v>729</v>
      </c>
      <c r="F107" t="s">
        <v>1067</v>
      </c>
      <c r="G107" t="s">
        <v>868</v>
      </c>
    </row>
    <row r="108" spans="1:7">
      <c r="A108" s="1" t="s">
        <v>44</v>
      </c>
      <c r="B108" s="5">
        <v>2018</v>
      </c>
      <c r="C108" t="s">
        <v>910</v>
      </c>
      <c r="D108" t="s">
        <v>1068</v>
      </c>
      <c r="E108" t="s">
        <v>736</v>
      </c>
      <c r="F108" t="s">
        <v>1069</v>
      </c>
      <c r="G108" t="s">
        <v>642</v>
      </c>
    </row>
    <row r="109" spans="1:7">
      <c r="A109" s="1" t="s">
        <v>44</v>
      </c>
      <c r="B109" s="5">
        <v>2019</v>
      </c>
      <c r="C109" t="s">
        <v>960</v>
      </c>
      <c r="D109" t="s">
        <v>931</v>
      </c>
      <c r="E109" t="s">
        <v>737</v>
      </c>
      <c r="F109" t="s">
        <v>1071</v>
      </c>
      <c r="G109" t="s">
        <v>591</v>
      </c>
    </row>
    <row r="110" spans="1:7">
      <c r="A110" s="1" t="s">
        <v>35</v>
      </c>
      <c r="B110" s="5">
        <v>2002</v>
      </c>
      <c r="C110" t="s">
        <v>1072</v>
      </c>
      <c r="D110" t="s">
        <v>1073</v>
      </c>
      <c r="E110" t="s">
        <v>657</v>
      </c>
      <c r="F110" t="s">
        <v>1074</v>
      </c>
      <c r="G110" t="s">
        <v>677</v>
      </c>
    </row>
    <row r="111" spans="1:7">
      <c r="A111" s="1" t="s">
        <v>35</v>
      </c>
      <c r="B111" s="5">
        <v>2003</v>
      </c>
      <c r="C111" t="s">
        <v>1075</v>
      </c>
      <c r="D111" t="s">
        <v>1076</v>
      </c>
      <c r="E111" t="s">
        <v>739</v>
      </c>
      <c r="F111" t="s">
        <v>594</v>
      </c>
      <c r="G111" t="s">
        <v>1077</v>
      </c>
    </row>
    <row r="112" spans="1:7">
      <c r="A112" s="1" t="s">
        <v>35</v>
      </c>
      <c r="B112" s="5">
        <v>2004</v>
      </c>
      <c r="C112" t="s">
        <v>1072</v>
      </c>
      <c r="D112" t="s">
        <v>1078</v>
      </c>
      <c r="E112" t="s">
        <v>740</v>
      </c>
      <c r="F112" t="s">
        <v>857</v>
      </c>
      <c r="G112" t="s">
        <v>978</v>
      </c>
    </row>
    <row r="113" spans="1:7">
      <c r="A113" s="1" t="s">
        <v>35</v>
      </c>
      <c r="B113" s="5">
        <v>2005</v>
      </c>
      <c r="C113" t="s">
        <v>1072</v>
      </c>
      <c r="D113" t="s">
        <v>1079</v>
      </c>
      <c r="E113" t="s">
        <v>742</v>
      </c>
      <c r="F113" t="s">
        <v>857</v>
      </c>
      <c r="G113" t="s">
        <v>749</v>
      </c>
    </row>
    <row r="114" spans="1:7">
      <c r="A114" s="1" t="s">
        <v>35</v>
      </c>
      <c r="B114" s="5">
        <v>2006</v>
      </c>
      <c r="C114" t="s">
        <v>1080</v>
      </c>
      <c r="D114" t="s">
        <v>1081</v>
      </c>
      <c r="E114" t="s">
        <v>743</v>
      </c>
      <c r="F114" t="s">
        <v>668</v>
      </c>
      <c r="G114" t="s">
        <v>752</v>
      </c>
    </row>
    <row r="115" spans="1:7">
      <c r="A115" s="1" t="s">
        <v>35</v>
      </c>
      <c r="B115" s="5">
        <v>2007</v>
      </c>
      <c r="C115" t="s">
        <v>1083</v>
      </c>
      <c r="D115" t="s">
        <v>1084</v>
      </c>
      <c r="E115" t="s">
        <v>601</v>
      </c>
      <c r="F115" t="s">
        <v>699</v>
      </c>
      <c r="G115" t="s">
        <v>747</v>
      </c>
    </row>
    <row r="116" spans="1:7">
      <c r="A116" s="1" t="s">
        <v>35</v>
      </c>
      <c r="B116" s="5">
        <v>2008</v>
      </c>
      <c r="C116" t="s">
        <v>1086</v>
      </c>
      <c r="D116" t="s">
        <v>1084</v>
      </c>
      <c r="E116" t="s">
        <v>744</v>
      </c>
      <c r="F116" t="s">
        <v>648</v>
      </c>
      <c r="G116" t="s">
        <v>601</v>
      </c>
    </row>
    <row r="117" spans="1:7">
      <c r="A117" s="1" t="s">
        <v>35</v>
      </c>
      <c r="B117" s="5">
        <v>2009</v>
      </c>
      <c r="C117" t="s">
        <v>1087</v>
      </c>
      <c r="D117" t="s">
        <v>1027</v>
      </c>
      <c r="E117" t="s">
        <v>746</v>
      </c>
      <c r="F117" t="s">
        <v>627</v>
      </c>
      <c r="G117" t="s">
        <v>707</v>
      </c>
    </row>
    <row r="118" spans="1:7">
      <c r="A118" s="1" t="s">
        <v>35</v>
      </c>
      <c r="B118" s="5">
        <v>2010</v>
      </c>
      <c r="C118" t="s">
        <v>1088</v>
      </c>
      <c r="D118" t="s">
        <v>1089</v>
      </c>
      <c r="E118" t="s">
        <v>747</v>
      </c>
      <c r="F118" t="s">
        <v>629</v>
      </c>
      <c r="G118" t="s">
        <v>601</v>
      </c>
    </row>
    <row r="119" spans="1:7">
      <c r="A119" s="1" t="s">
        <v>35</v>
      </c>
      <c r="B119" s="5">
        <v>2011</v>
      </c>
      <c r="C119" t="s">
        <v>1090</v>
      </c>
      <c r="D119" t="s">
        <v>1030</v>
      </c>
      <c r="E119" t="s">
        <v>748</v>
      </c>
      <c r="F119" t="s">
        <v>627</v>
      </c>
      <c r="G119" t="s">
        <v>784</v>
      </c>
    </row>
    <row r="120" spans="1:7">
      <c r="A120" s="1" t="s">
        <v>35</v>
      </c>
      <c r="B120" s="5">
        <v>2012</v>
      </c>
      <c r="C120" t="s">
        <v>1091</v>
      </c>
      <c r="D120" t="s">
        <v>1092</v>
      </c>
      <c r="E120" t="s">
        <v>749</v>
      </c>
      <c r="F120" t="s">
        <v>935</v>
      </c>
      <c r="G120" t="s">
        <v>739</v>
      </c>
    </row>
    <row r="121" spans="1:7">
      <c r="A121" s="1" t="s">
        <v>35</v>
      </c>
      <c r="B121" s="5">
        <v>2013</v>
      </c>
      <c r="C121" t="s">
        <v>1094</v>
      </c>
      <c r="D121" t="s">
        <v>1095</v>
      </c>
      <c r="E121" t="s">
        <v>748</v>
      </c>
      <c r="F121" t="s">
        <v>629</v>
      </c>
      <c r="G121" t="s">
        <v>1096</v>
      </c>
    </row>
    <row r="122" spans="1:7">
      <c r="A122" s="1" t="s">
        <v>35</v>
      </c>
      <c r="B122" s="5">
        <v>2014</v>
      </c>
      <c r="C122" t="s">
        <v>1097</v>
      </c>
      <c r="D122" t="s">
        <v>1098</v>
      </c>
      <c r="E122" t="s">
        <v>610</v>
      </c>
      <c r="F122" t="s">
        <v>629</v>
      </c>
      <c r="G122" t="s">
        <v>753</v>
      </c>
    </row>
    <row r="123" spans="1:7">
      <c r="A123" s="1" t="s">
        <v>35</v>
      </c>
      <c r="B123" s="5">
        <v>2015</v>
      </c>
      <c r="C123" t="s">
        <v>1094</v>
      </c>
      <c r="D123" t="s">
        <v>1100</v>
      </c>
      <c r="E123" t="s">
        <v>703</v>
      </c>
      <c r="F123" t="s">
        <v>632</v>
      </c>
      <c r="G123" t="s">
        <v>751</v>
      </c>
    </row>
    <row r="124" spans="1:7">
      <c r="A124" s="1" t="s">
        <v>35</v>
      </c>
      <c r="B124" s="5">
        <v>2016</v>
      </c>
      <c r="C124" t="s">
        <v>1101</v>
      </c>
      <c r="D124" t="s">
        <v>1102</v>
      </c>
      <c r="E124" t="s">
        <v>703</v>
      </c>
      <c r="F124" t="s">
        <v>632</v>
      </c>
      <c r="G124" t="s">
        <v>704</v>
      </c>
    </row>
    <row r="125" spans="1:7">
      <c r="A125" s="1" t="s">
        <v>35</v>
      </c>
      <c r="B125" s="5">
        <v>2017</v>
      </c>
      <c r="C125" t="s">
        <v>1091</v>
      </c>
      <c r="D125" t="s">
        <v>1103</v>
      </c>
      <c r="E125" t="s">
        <v>751</v>
      </c>
      <c r="F125" t="s">
        <v>594</v>
      </c>
      <c r="G125" t="s">
        <v>1104</v>
      </c>
    </row>
    <row r="126" spans="1:7">
      <c r="A126" s="1" t="s">
        <v>35</v>
      </c>
      <c r="B126" s="5">
        <v>2018</v>
      </c>
      <c r="C126" t="s">
        <v>1087</v>
      </c>
      <c r="D126" t="s">
        <v>1105</v>
      </c>
      <c r="E126" t="s">
        <v>612</v>
      </c>
      <c r="F126" t="s">
        <v>745</v>
      </c>
      <c r="G126" t="s">
        <v>593</v>
      </c>
    </row>
    <row r="127" spans="1:7">
      <c r="A127" s="1" t="s">
        <v>35</v>
      </c>
      <c r="B127" s="5">
        <v>2019</v>
      </c>
      <c r="C127" t="s">
        <v>1088</v>
      </c>
      <c r="D127" t="s">
        <v>1106</v>
      </c>
      <c r="E127" t="s">
        <v>752</v>
      </c>
      <c r="F127" t="s">
        <v>636</v>
      </c>
      <c r="G127" t="s">
        <v>740</v>
      </c>
    </row>
    <row r="128" spans="1:7">
      <c r="A128" s="1" t="s">
        <v>37</v>
      </c>
      <c r="B128" s="5">
        <v>2002</v>
      </c>
      <c r="C128" t="s">
        <v>1107</v>
      </c>
      <c r="D128" t="s">
        <v>1108</v>
      </c>
      <c r="E128" t="s">
        <v>703</v>
      </c>
      <c r="F128" t="s">
        <v>1109</v>
      </c>
      <c r="G128" t="s">
        <v>780</v>
      </c>
    </row>
    <row r="129" spans="1:7">
      <c r="A129" s="1" t="s">
        <v>37</v>
      </c>
      <c r="B129" s="5">
        <v>2003</v>
      </c>
      <c r="C129" t="s">
        <v>1110</v>
      </c>
      <c r="D129" t="s">
        <v>1111</v>
      </c>
      <c r="E129" t="s">
        <v>703</v>
      </c>
      <c r="F129" t="s">
        <v>1112</v>
      </c>
      <c r="G129" t="s">
        <v>765</v>
      </c>
    </row>
    <row r="130" spans="1:7">
      <c r="A130" s="1" t="s">
        <v>37</v>
      </c>
      <c r="B130" s="5">
        <v>2004</v>
      </c>
      <c r="C130" t="s">
        <v>855</v>
      </c>
      <c r="D130" t="s">
        <v>1113</v>
      </c>
      <c r="E130" t="s">
        <v>607</v>
      </c>
      <c r="F130" t="s">
        <v>1114</v>
      </c>
      <c r="G130" t="s">
        <v>781</v>
      </c>
    </row>
    <row r="131" spans="1:7">
      <c r="A131" s="1" t="s">
        <v>37</v>
      </c>
      <c r="B131" s="5">
        <v>2005</v>
      </c>
      <c r="C131" t="s">
        <v>1115</v>
      </c>
      <c r="D131" t="s">
        <v>1116</v>
      </c>
      <c r="E131" t="s">
        <v>754</v>
      </c>
      <c r="F131" t="s">
        <v>1117</v>
      </c>
      <c r="G131" t="s">
        <v>621</v>
      </c>
    </row>
    <row r="132" spans="1:7">
      <c r="A132" s="1" t="s">
        <v>37</v>
      </c>
      <c r="B132" s="5">
        <v>2006</v>
      </c>
      <c r="C132" t="s">
        <v>1118</v>
      </c>
      <c r="D132" t="s">
        <v>1119</v>
      </c>
      <c r="E132" t="s">
        <v>755</v>
      </c>
      <c r="F132" t="s">
        <v>1120</v>
      </c>
      <c r="G132" t="s">
        <v>765</v>
      </c>
    </row>
    <row r="133" spans="1:7">
      <c r="A133" s="1" t="s">
        <v>37</v>
      </c>
      <c r="B133" s="5">
        <v>2007</v>
      </c>
      <c r="C133" t="s">
        <v>1121</v>
      </c>
      <c r="D133" t="s">
        <v>1122</v>
      </c>
      <c r="E133" t="s">
        <v>670</v>
      </c>
      <c r="F133" t="s">
        <v>1123</v>
      </c>
      <c r="G133" t="s">
        <v>791</v>
      </c>
    </row>
    <row r="134" spans="1:7">
      <c r="A134" s="1" t="s">
        <v>37</v>
      </c>
      <c r="B134" s="5">
        <v>2008</v>
      </c>
      <c r="C134" t="s">
        <v>1124</v>
      </c>
      <c r="D134" t="s">
        <v>990</v>
      </c>
      <c r="E134" t="s">
        <v>757</v>
      </c>
      <c r="F134" t="s">
        <v>1125</v>
      </c>
      <c r="G134" t="s">
        <v>729</v>
      </c>
    </row>
    <row r="135" spans="1:7">
      <c r="A135" s="1" t="s">
        <v>37</v>
      </c>
      <c r="B135" s="5">
        <v>2009</v>
      </c>
      <c r="C135" t="s">
        <v>1124</v>
      </c>
      <c r="D135" t="s">
        <v>1126</v>
      </c>
      <c r="E135" t="s">
        <v>680</v>
      </c>
      <c r="F135" t="s">
        <v>1127</v>
      </c>
      <c r="G135" t="s">
        <v>634</v>
      </c>
    </row>
    <row r="136" spans="1:7">
      <c r="A136" s="1" t="s">
        <v>37</v>
      </c>
      <c r="B136" s="5">
        <v>2010</v>
      </c>
      <c r="C136" t="s">
        <v>1128</v>
      </c>
      <c r="D136" t="s">
        <v>990</v>
      </c>
      <c r="E136" t="s">
        <v>759</v>
      </c>
      <c r="F136" t="s">
        <v>1127</v>
      </c>
      <c r="G136" t="s">
        <v>868</v>
      </c>
    </row>
    <row r="137" spans="1:7">
      <c r="A137" s="1" t="s">
        <v>37</v>
      </c>
      <c r="B137" s="5">
        <v>2011</v>
      </c>
      <c r="C137" t="s">
        <v>1129</v>
      </c>
      <c r="D137" t="s">
        <v>1130</v>
      </c>
      <c r="E137" t="s">
        <v>760</v>
      </c>
      <c r="F137" t="s">
        <v>1127</v>
      </c>
      <c r="G137" t="s">
        <v>671</v>
      </c>
    </row>
    <row r="138" spans="1:7">
      <c r="A138" s="1" t="s">
        <v>37</v>
      </c>
      <c r="B138" s="5">
        <v>2012</v>
      </c>
      <c r="C138" t="s">
        <v>1132</v>
      </c>
      <c r="D138" t="s">
        <v>1133</v>
      </c>
      <c r="E138" t="s">
        <v>635</v>
      </c>
      <c r="F138" t="s">
        <v>1134</v>
      </c>
      <c r="G138" t="s">
        <v>591</v>
      </c>
    </row>
    <row r="139" spans="1:7">
      <c r="A139" s="1" t="s">
        <v>37</v>
      </c>
      <c r="B139" s="5">
        <v>2013</v>
      </c>
      <c r="C139" t="s">
        <v>1135</v>
      </c>
      <c r="D139" t="s">
        <v>1136</v>
      </c>
      <c r="E139" t="s">
        <v>761</v>
      </c>
      <c r="F139" t="s">
        <v>1137</v>
      </c>
      <c r="G139" t="s">
        <v>634</v>
      </c>
    </row>
    <row r="140" spans="1:7">
      <c r="A140" s="1" t="s">
        <v>37</v>
      </c>
      <c r="B140" s="5">
        <v>2014</v>
      </c>
      <c r="C140" t="s">
        <v>1066</v>
      </c>
      <c r="D140" t="s">
        <v>1024</v>
      </c>
      <c r="E140" t="s">
        <v>762</v>
      </c>
      <c r="F140" t="s">
        <v>1138</v>
      </c>
      <c r="G140" t="s">
        <v>676</v>
      </c>
    </row>
    <row r="141" spans="1:7">
      <c r="A141" s="1" t="s">
        <v>37</v>
      </c>
      <c r="B141" s="5">
        <v>2015</v>
      </c>
      <c r="C141" t="s">
        <v>1066</v>
      </c>
      <c r="D141" t="s">
        <v>997</v>
      </c>
      <c r="E141" t="s">
        <v>750</v>
      </c>
      <c r="F141" t="s">
        <v>692</v>
      </c>
      <c r="G141" t="s">
        <v>663</v>
      </c>
    </row>
    <row r="142" spans="1:7">
      <c r="A142" s="1" t="s">
        <v>37</v>
      </c>
      <c r="B142" s="5">
        <v>2016</v>
      </c>
      <c r="C142" t="s">
        <v>1139</v>
      </c>
      <c r="D142" t="s">
        <v>1140</v>
      </c>
      <c r="E142" t="s">
        <v>763</v>
      </c>
      <c r="F142" t="s">
        <v>606</v>
      </c>
      <c r="G142" t="s">
        <v>675</v>
      </c>
    </row>
    <row r="143" spans="1:7">
      <c r="A143" s="1" t="s">
        <v>37</v>
      </c>
      <c r="B143" s="5">
        <v>2017</v>
      </c>
      <c r="C143" t="s">
        <v>1141</v>
      </c>
      <c r="D143" t="s">
        <v>947</v>
      </c>
      <c r="E143" t="s">
        <v>738</v>
      </c>
      <c r="F143" t="s">
        <v>604</v>
      </c>
      <c r="G143" t="s">
        <v>656</v>
      </c>
    </row>
    <row r="144" spans="1:7">
      <c r="A144" s="1" t="s">
        <v>37</v>
      </c>
      <c r="B144" s="5">
        <v>2018</v>
      </c>
      <c r="C144" t="s">
        <v>1143</v>
      </c>
      <c r="D144" t="s">
        <v>1144</v>
      </c>
      <c r="E144" t="s">
        <v>625</v>
      </c>
      <c r="F144" t="s">
        <v>606</v>
      </c>
      <c r="G144" t="s">
        <v>650</v>
      </c>
    </row>
    <row r="145" spans="1:7">
      <c r="A145" s="1" t="s">
        <v>37</v>
      </c>
      <c r="B145" s="5">
        <v>2019</v>
      </c>
      <c r="C145" t="s">
        <v>1067</v>
      </c>
      <c r="D145" t="s">
        <v>1145</v>
      </c>
      <c r="E145" t="s">
        <v>745</v>
      </c>
      <c r="F145" t="s">
        <v>1146</v>
      </c>
      <c r="G145" t="s">
        <v>675</v>
      </c>
    </row>
    <row r="146" spans="1:7">
      <c r="A146" s="1" t="s">
        <v>45</v>
      </c>
      <c r="B146" s="5">
        <v>2002</v>
      </c>
      <c r="C146" t="s">
        <v>1147</v>
      </c>
      <c r="D146" t="s">
        <v>1148</v>
      </c>
      <c r="E146" t="s">
        <v>676</v>
      </c>
      <c r="F146" t="s">
        <v>1149</v>
      </c>
      <c r="G146" t="s">
        <v>1150</v>
      </c>
    </row>
    <row r="147" spans="1:7">
      <c r="A147" s="1" t="s">
        <v>45</v>
      </c>
      <c r="B147" s="5">
        <v>2003</v>
      </c>
      <c r="C147" t="s">
        <v>1151</v>
      </c>
      <c r="D147" t="s">
        <v>998</v>
      </c>
      <c r="E147" t="s">
        <v>765</v>
      </c>
      <c r="F147" t="s">
        <v>723</v>
      </c>
      <c r="G147" t="s">
        <v>690</v>
      </c>
    </row>
    <row r="148" spans="1:7">
      <c r="A148" s="1" t="s">
        <v>45</v>
      </c>
      <c r="B148" s="5">
        <v>2004</v>
      </c>
      <c r="C148" t="s">
        <v>1152</v>
      </c>
      <c r="D148" t="s">
        <v>1153</v>
      </c>
      <c r="E148" t="s">
        <v>766</v>
      </c>
      <c r="F148" t="s">
        <v>647</v>
      </c>
      <c r="G148" t="s">
        <v>847</v>
      </c>
    </row>
    <row r="149" spans="1:7">
      <c r="A149" s="1" t="s">
        <v>45</v>
      </c>
      <c r="B149" s="5">
        <v>2005</v>
      </c>
      <c r="C149" t="s">
        <v>1013</v>
      </c>
      <c r="D149" t="s">
        <v>1154</v>
      </c>
      <c r="E149" t="s">
        <v>767</v>
      </c>
      <c r="F149" t="s">
        <v>645</v>
      </c>
      <c r="G149" t="s">
        <v>623</v>
      </c>
    </row>
    <row r="150" spans="1:7">
      <c r="A150" s="1" t="s">
        <v>45</v>
      </c>
      <c r="B150" s="5">
        <v>2006</v>
      </c>
      <c r="C150" t="s">
        <v>1152</v>
      </c>
      <c r="D150" t="s">
        <v>1155</v>
      </c>
      <c r="E150" t="s">
        <v>630</v>
      </c>
      <c r="F150" t="s">
        <v>770</v>
      </c>
      <c r="G150" t="s">
        <v>733</v>
      </c>
    </row>
    <row r="151" spans="1:7">
      <c r="A151" s="1" t="s">
        <v>45</v>
      </c>
      <c r="B151" s="5">
        <v>2007</v>
      </c>
      <c r="C151" t="s">
        <v>1156</v>
      </c>
      <c r="D151" t="s">
        <v>865</v>
      </c>
      <c r="E151" t="s">
        <v>768</v>
      </c>
      <c r="F151" t="s">
        <v>713</v>
      </c>
      <c r="G151" t="s">
        <v>733</v>
      </c>
    </row>
    <row r="152" spans="1:7">
      <c r="A152" s="1" t="s">
        <v>45</v>
      </c>
      <c r="B152" s="5">
        <v>2008</v>
      </c>
      <c r="C152" t="s">
        <v>660</v>
      </c>
      <c r="D152" t="s">
        <v>1005</v>
      </c>
      <c r="E152" t="s">
        <v>646</v>
      </c>
      <c r="F152" t="s">
        <v>764</v>
      </c>
      <c r="G152" t="s">
        <v>794</v>
      </c>
    </row>
    <row r="153" spans="1:7">
      <c r="A153" s="1" t="s">
        <v>45</v>
      </c>
      <c r="B153" s="5">
        <v>2009</v>
      </c>
      <c r="C153" t="s">
        <v>1157</v>
      </c>
      <c r="D153" t="s">
        <v>1158</v>
      </c>
      <c r="E153" t="s">
        <v>771</v>
      </c>
      <c r="F153" t="s">
        <v>589</v>
      </c>
      <c r="G153" t="s">
        <v>719</v>
      </c>
    </row>
    <row r="154" spans="1:7">
      <c r="A154" s="1" t="s">
        <v>45</v>
      </c>
      <c r="B154" s="5">
        <v>2010</v>
      </c>
      <c r="C154" t="s">
        <v>1159</v>
      </c>
      <c r="D154" t="s">
        <v>1160</v>
      </c>
      <c r="E154" t="s">
        <v>728</v>
      </c>
      <c r="F154" t="s">
        <v>1161</v>
      </c>
      <c r="G154" t="s">
        <v>1162</v>
      </c>
    </row>
    <row r="155" spans="1:7">
      <c r="A155" s="1" t="s">
        <v>45</v>
      </c>
      <c r="B155" s="5">
        <v>2011</v>
      </c>
      <c r="C155" t="s">
        <v>1163</v>
      </c>
      <c r="D155" t="s">
        <v>1164</v>
      </c>
      <c r="E155" t="s">
        <v>765</v>
      </c>
      <c r="F155" t="s">
        <v>1161</v>
      </c>
      <c r="G155" t="s">
        <v>780</v>
      </c>
    </row>
    <row r="156" spans="1:7">
      <c r="A156" s="1" t="s">
        <v>45</v>
      </c>
      <c r="B156" s="5">
        <v>2012</v>
      </c>
      <c r="C156" t="s">
        <v>1165</v>
      </c>
      <c r="D156" t="s">
        <v>1166</v>
      </c>
      <c r="E156" t="s">
        <v>772</v>
      </c>
      <c r="F156" t="s">
        <v>1149</v>
      </c>
      <c r="G156" t="s">
        <v>781</v>
      </c>
    </row>
    <row r="157" spans="1:7">
      <c r="A157" s="1" t="s">
        <v>45</v>
      </c>
      <c r="B157" s="5">
        <v>2013</v>
      </c>
      <c r="C157" t="s">
        <v>1167</v>
      </c>
      <c r="D157" t="s">
        <v>990</v>
      </c>
      <c r="E157" t="s">
        <v>772</v>
      </c>
      <c r="F157" t="s">
        <v>1006</v>
      </c>
      <c r="G157" t="s">
        <v>623</v>
      </c>
    </row>
    <row r="158" spans="1:7">
      <c r="A158" s="1" t="s">
        <v>45</v>
      </c>
      <c r="B158" s="5">
        <v>2014</v>
      </c>
      <c r="C158" t="s">
        <v>883</v>
      </c>
      <c r="D158" t="s">
        <v>1131</v>
      </c>
      <c r="E158" t="s">
        <v>727</v>
      </c>
      <c r="F158" t="s">
        <v>598</v>
      </c>
      <c r="G158" t="s">
        <v>730</v>
      </c>
    </row>
    <row r="159" spans="1:7">
      <c r="A159" s="1" t="s">
        <v>45</v>
      </c>
      <c r="B159" s="5">
        <v>2015</v>
      </c>
      <c r="C159" t="s">
        <v>1168</v>
      </c>
      <c r="D159" t="s">
        <v>1169</v>
      </c>
      <c r="E159" t="s">
        <v>773</v>
      </c>
      <c r="F159" t="s">
        <v>701</v>
      </c>
      <c r="G159" t="s">
        <v>712</v>
      </c>
    </row>
    <row r="160" spans="1:7">
      <c r="A160" s="1" t="s">
        <v>45</v>
      </c>
      <c r="B160" s="5">
        <v>2016</v>
      </c>
      <c r="C160" t="s">
        <v>1028</v>
      </c>
      <c r="D160" t="s">
        <v>1060</v>
      </c>
      <c r="E160" t="s">
        <v>695</v>
      </c>
      <c r="F160" t="s">
        <v>626</v>
      </c>
      <c r="G160" t="s">
        <v>1056</v>
      </c>
    </row>
    <row r="161" spans="1:7">
      <c r="A161" s="1" t="s">
        <v>45</v>
      </c>
      <c r="B161" s="5">
        <v>2017</v>
      </c>
      <c r="C161" t="s">
        <v>1170</v>
      </c>
      <c r="D161" t="s">
        <v>923</v>
      </c>
      <c r="E161" t="s">
        <v>776</v>
      </c>
      <c r="F161" t="s">
        <v>1039</v>
      </c>
      <c r="G161" t="s">
        <v>621</v>
      </c>
    </row>
    <row r="162" spans="1:7">
      <c r="A162" s="1" t="s">
        <v>45</v>
      </c>
      <c r="B162" s="5">
        <v>2018</v>
      </c>
      <c r="C162" t="s">
        <v>667</v>
      </c>
      <c r="D162" t="s">
        <v>1142</v>
      </c>
      <c r="E162" t="s">
        <v>633</v>
      </c>
      <c r="F162" t="s">
        <v>1039</v>
      </c>
      <c r="G162" t="s">
        <v>729</v>
      </c>
    </row>
    <row r="163" spans="1:7">
      <c r="A163" s="1" t="s">
        <v>45</v>
      </c>
      <c r="B163" s="5">
        <v>2019</v>
      </c>
      <c r="C163" t="s">
        <v>1031</v>
      </c>
      <c r="D163" t="s">
        <v>1145</v>
      </c>
      <c r="E163" t="s">
        <v>777</v>
      </c>
      <c r="F163" t="s">
        <v>626</v>
      </c>
      <c r="G163" t="s">
        <v>772</v>
      </c>
    </row>
    <row r="164" spans="1:7">
      <c r="A164" s="1" t="s">
        <v>40</v>
      </c>
      <c r="B164" s="5">
        <v>2002</v>
      </c>
      <c r="C164" t="s">
        <v>1097</v>
      </c>
      <c r="D164" t="s">
        <v>1171</v>
      </c>
      <c r="E164" t="s">
        <v>763</v>
      </c>
      <c r="F164" t="s">
        <v>1172</v>
      </c>
      <c r="G164" t="s">
        <v>605</v>
      </c>
    </row>
    <row r="165" spans="1:7">
      <c r="A165" s="1" t="s">
        <v>40</v>
      </c>
      <c r="B165" s="5">
        <v>2003</v>
      </c>
      <c r="C165" t="s">
        <v>1174</v>
      </c>
      <c r="D165" t="s">
        <v>1175</v>
      </c>
      <c r="E165" t="s">
        <v>779</v>
      </c>
      <c r="F165" t="s">
        <v>1172</v>
      </c>
      <c r="G165" t="s">
        <v>611</v>
      </c>
    </row>
    <row r="166" spans="1:7">
      <c r="A166" s="1" t="s">
        <v>40</v>
      </c>
      <c r="B166" s="5">
        <v>2004</v>
      </c>
      <c r="C166" t="s">
        <v>1090</v>
      </c>
      <c r="D166" t="s">
        <v>934</v>
      </c>
      <c r="E166" t="s">
        <v>695</v>
      </c>
      <c r="F166" t="s">
        <v>1172</v>
      </c>
      <c r="G166" t="s">
        <v>639</v>
      </c>
    </row>
    <row r="167" spans="1:7">
      <c r="A167" s="1" t="s">
        <v>40</v>
      </c>
      <c r="B167" s="5">
        <v>2005</v>
      </c>
      <c r="C167" t="s">
        <v>1176</v>
      </c>
      <c r="D167" t="s">
        <v>741</v>
      </c>
      <c r="E167" t="s">
        <v>631</v>
      </c>
      <c r="F167" t="s">
        <v>1172</v>
      </c>
      <c r="G167" t="s">
        <v>605</v>
      </c>
    </row>
    <row r="168" spans="1:7">
      <c r="A168" s="1" t="s">
        <v>40</v>
      </c>
      <c r="B168" s="5">
        <v>2006</v>
      </c>
      <c r="C168" t="s">
        <v>1090</v>
      </c>
      <c r="D168" t="s">
        <v>1177</v>
      </c>
      <c r="E168" t="s">
        <v>663</v>
      </c>
      <c r="F168" t="s">
        <v>1172</v>
      </c>
      <c r="G168" t="s">
        <v>639</v>
      </c>
    </row>
    <row r="169" spans="1:7">
      <c r="A169" s="1" t="s">
        <v>40</v>
      </c>
      <c r="B169" s="5">
        <v>2007</v>
      </c>
      <c r="C169" t="s">
        <v>1087</v>
      </c>
      <c r="D169" t="s">
        <v>1173</v>
      </c>
      <c r="E169" t="s">
        <v>702</v>
      </c>
      <c r="F169" t="s">
        <v>1172</v>
      </c>
      <c r="G169" t="s">
        <v>607</v>
      </c>
    </row>
    <row r="170" spans="1:7">
      <c r="A170" s="1" t="s">
        <v>40</v>
      </c>
      <c r="B170" s="5">
        <v>2008</v>
      </c>
      <c r="C170" t="s">
        <v>1090</v>
      </c>
      <c r="D170" t="s">
        <v>1007</v>
      </c>
      <c r="E170" t="s">
        <v>760</v>
      </c>
      <c r="F170" t="s">
        <v>1172</v>
      </c>
      <c r="G170" t="s">
        <v>607</v>
      </c>
    </row>
    <row r="171" spans="1:7">
      <c r="A171" s="1" t="s">
        <v>40</v>
      </c>
      <c r="B171" s="5">
        <v>2009</v>
      </c>
      <c r="C171" t="s">
        <v>1101</v>
      </c>
      <c r="D171" t="s">
        <v>968</v>
      </c>
      <c r="E171" t="s">
        <v>656</v>
      </c>
      <c r="F171" t="s">
        <v>1172</v>
      </c>
      <c r="G171" t="s">
        <v>1011</v>
      </c>
    </row>
    <row r="172" spans="1:7">
      <c r="A172" s="1" t="s">
        <v>40</v>
      </c>
      <c r="B172" s="5">
        <v>2010</v>
      </c>
      <c r="C172" t="s">
        <v>1176</v>
      </c>
      <c r="D172" t="s">
        <v>966</v>
      </c>
      <c r="E172" t="s">
        <v>668</v>
      </c>
      <c r="F172" t="s">
        <v>1172</v>
      </c>
      <c r="G172" t="s">
        <v>600</v>
      </c>
    </row>
    <row r="173" spans="1:7">
      <c r="A173" s="1" t="s">
        <v>40</v>
      </c>
      <c r="B173" s="5">
        <v>2011</v>
      </c>
      <c r="C173" t="s">
        <v>1180</v>
      </c>
      <c r="D173" t="s">
        <v>1181</v>
      </c>
      <c r="E173" t="s">
        <v>785</v>
      </c>
      <c r="F173" t="s">
        <v>1172</v>
      </c>
      <c r="G173" t="s">
        <v>1011</v>
      </c>
    </row>
    <row r="174" spans="1:7">
      <c r="A174" s="1" t="s">
        <v>40</v>
      </c>
      <c r="B174" s="5">
        <v>2012</v>
      </c>
      <c r="C174" t="s">
        <v>1182</v>
      </c>
      <c r="D174" t="s">
        <v>1183</v>
      </c>
      <c r="E174" t="s">
        <v>786</v>
      </c>
      <c r="F174" t="s">
        <v>1172</v>
      </c>
      <c r="G174" t="s">
        <v>779</v>
      </c>
    </row>
    <row r="175" spans="1:7">
      <c r="A175" s="1" t="s">
        <v>40</v>
      </c>
      <c r="B175" s="5">
        <v>2013</v>
      </c>
      <c r="C175" t="s">
        <v>1080</v>
      </c>
      <c r="D175" t="s">
        <v>1184</v>
      </c>
      <c r="E175" t="s">
        <v>787</v>
      </c>
      <c r="F175" t="s">
        <v>1172</v>
      </c>
      <c r="G175" t="s">
        <v>600</v>
      </c>
    </row>
    <row r="176" spans="1:7">
      <c r="A176" s="1" t="s">
        <v>40</v>
      </c>
      <c r="B176" s="5">
        <v>2014</v>
      </c>
      <c r="C176" t="s">
        <v>1180</v>
      </c>
      <c r="D176" t="s">
        <v>1070</v>
      </c>
      <c r="E176" t="s">
        <v>788</v>
      </c>
      <c r="F176" t="s">
        <v>1172</v>
      </c>
      <c r="G176" t="s">
        <v>783</v>
      </c>
    </row>
    <row r="177" spans="1:20">
      <c r="A177" s="1" t="s">
        <v>40</v>
      </c>
      <c r="B177" s="5">
        <v>2015</v>
      </c>
      <c r="C177" t="s">
        <v>1083</v>
      </c>
      <c r="D177" t="s">
        <v>1185</v>
      </c>
      <c r="E177" t="s">
        <v>616</v>
      </c>
      <c r="F177" t="s">
        <v>1172</v>
      </c>
      <c r="G177" t="s">
        <v>1018</v>
      </c>
    </row>
    <row r="178" spans="1:20">
      <c r="A178" s="1" t="s">
        <v>40</v>
      </c>
      <c r="B178" s="5">
        <v>2016</v>
      </c>
      <c r="C178" t="s">
        <v>1086</v>
      </c>
      <c r="D178" t="s">
        <v>1186</v>
      </c>
      <c r="E178" t="s">
        <v>702</v>
      </c>
      <c r="F178" t="s">
        <v>1172</v>
      </c>
      <c r="G178" t="s">
        <v>1104</v>
      </c>
    </row>
    <row r="179" spans="1:20">
      <c r="A179" s="1" t="s">
        <v>40</v>
      </c>
      <c r="B179" s="5">
        <v>2017</v>
      </c>
      <c r="C179" t="s">
        <v>1080</v>
      </c>
      <c r="D179" t="s">
        <v>1187</v>
      </c>
      <c r="E179" t="s">
        <v>695</v>
      </c>
      <c r="F179" t="s">
        <v>1172</v>
      </c>
      <c r="G179" t="s">
        <v>1188</v>
      </c>
    </row>
    <row r="180" spans="1:20">
      <c r="A180" s="1" t="s">
        <v>40</v>
      </c>
      <c r="B180" s="5">
        <v>2018</v>
      </c>
      <c r="C180" t="s">
        <v>1189</v>
      </c>
      <c r="D180" t="s">
        <v>1178</v>
      </c>
      <c r="E180" t="s">
        <v>658</v>
      </c>
      <c r="F180" t="s">
        <v>1172</v>
      </c>
      <c r="G180" t="s">
        <v>1009</v>
      </c>
    </row>
    <row r="181" spans="1:20">
      <c r="A181" s="1" t="s">
        <v>40</v>
      </c>
      <c r="B181" s="5">
        <v>2019</v>
      </c>
      <c r="C181" t="s">
        <v>1191</v>
      </c>
      <c r="D181" t="s">
        <v>1179</v>
      </c>
      <c r="E181" t="s">
        <v>771</v>
      </c>
      <c r="F181" t="s">
        <v>1172</v>
      </c>
      <c r="G181" t="s">
        <v>600</v>
      </c>
      <c r="J181" s="6"/>
      <c r="K181" s="6"/>
      <c r="L181" s="6"/>
      <c r="M181" s="6"/>
      <c r="N181" s="6"/>
      <c r="P181" s="6"/>
      <c r="Q181" s="6"/>
      <c r="R181" s="6"/>
      <c r="S181" s="6"/>
      <c r="T181" s="6"/>
    </row>
    <row r="182" spans="1:20">
      <c r="A182" s="1" t="s">
        <v>46</v>
      </c>
      <c r="B182" s="5">
        <v>2002</v>
      </c>
      <c r="C182" t="s">
        <v>963</v>
      </c>
      <c r="D182" t="s">
        <v>968</v>
      </c>
      <c r="E182" t="s">
        <v>727</v>
      </c>
      <c r="F182" t="s">
        <v>1193</v>
      </c>
      <c r="G182" t="s">
        <v>942</v>
      </c>
      <c r="J182" s="8"/>
      <c r="K182" s="7"/>
      <c r="L182" s="7"/>
      <c r="M182" s="7"/>
      <c r="N182" s="7"/>
      <c r="P182" s="7"/>
      <c r="Q182" s="7"/>
      <c r="R182" s="7"/>
      <c r="S182" s="7"/>
      <c r="T182" s="7"/>
    </row>
    <row r="183" spans="1:20">
      <c r="A183" s="1" t="s">
        <v>46</v>
      </c>
      <c r="B183" s="5">
        <v>2003</v>
      </c>
      <c r="C183" t="s">
        <v>965</v>
      </c>
      <c r="D183" t="s">
        <v>1194</v>
      </c>
      <c r="E183" t="s">
        <v>591</v>
      </c>
      <c r="F183" t="s">
        <v>1193</v>
      </c>
      <c r="G183" t="s">
        <v>632</v>
      </c>
      <c r="J183" s="8"/>
      <c r="K183" s="7"/>
      <c r="L183" s="7"/>
      <c r="M183" s="7"/>
      <c r="N183" s="7"/>
      <c r="P183" s="7"/>
      <c r="Q183" s="7"/>
      <c r="R183" s="7"/>
      <c r="S183" s="7"/>
      <c r="T183" s="7"/>
    </row>
    <row r="184" spans="1:20">
      <c r="A184" s="1" t="s">
        <v>46</v>
      </c>
      <c r="B184" s="5">
        <v>2004</v>
      </c>
      <c r="C184" t="s">
        <v>850</v>
      </c>
      <c r="D184" t="s">
        <v>1178</v>
      </c>
      <c r="E184" t="s">
        <v>789</v>
      </c>
      <c r="F184" t="s">
        <v>746</v>
      </c>
      <c r="G184" t="s">
        <v>1188</v>
      </c>
      <c r="I184" s="6"/>
      <c r="J184" s="6"/>
      <c r="K184" s="6"/>
      <c r="L184" s="6"/>
      <c r="M184" s="7"/>
      <c r="N184" s="7"/>
      <c r="P184" s="7"/>
      <c r="Q184" s="7"/>
      <c r="R184" s="7"/>
      <c r="S184" s="7"/>
      <c r="T184" s="7"/>
    </row>
    <row r="185" spans="1:20">
      <c r="A185" s="1" t="s">
        <v>46</v>
      </c>
      <c r="B185" s="5">
        <v>2005</v>
      </c>
      <c r="C185" t="s">
        <v>853</v>
      </c>
      <c r="D185" t="s">
        <v>1195</v>
      </c>
      <c r="E185" t="s">
        <v>659</v>
      </c>
      <c r="F185" t="s">
        <v>1196</v>
      </c>
      <c r="G185" t="s">
        <v>1009</v>
      </c>
      <c r="I185" s="7"/>
      <c r="J185" s="7"/>
      <c r="K185" s="7"/>
      <c r="L185" s="7"/>
      <c r="M185" s="7"/>
      <c r="N185" s="7"/>
      <c r="P185" s="7"/>
      <c r="Q185" s="7"/>
      <c r="R185" s="7"/>
      <c r="S185" s="7"/>
      <c r="T185" s="7"/>
    </row>
    <row r="186" spans="1:20">
      <c r="A186" s="1" t="s">
        <v>46</v>
      </c>
      <c r="B186" s="5">
        <v>2006</v>
      </c>
      <c r="C186" t="s">
        <v>1197</v>
      </c>
      <c r="D186" t="s">
        <v>1183</v>
      </c>
      <c r="E186" t="s">
        <v>790</v>
      </c>
      <c r="F186" t="s">
        <v>703</v>
      </c>
      <c r="G186" t="s">
        <v>763</v>
      </c>
      <c r="I186" s="7"/>
      <c r="J186" s="7"/>
      <c r="K186" s="7"/>
      <c r="L186" s="7"/>
      <c r="M186" s="7"/>
      <c r="N186" s="7"/>
      <c r="P186" s="7"/>
      <c r="Q186" s="7"/>
      <c r="R186" s="7"/>
      <c r="S186" s="7"/>
      <c r="T186" s="7"/>
    </row>
    <row r="187" spans="1:20">
      <c r="A187" s="1" t="s">
        <v>46</v>
      </c>
      <c r="B187" s="5">
        <v>2007</v>
      </c>
      <c r="C187" t="s">
        <v>858</v>
      </c>
      <c r="D187" t="s">
        <v>1099</v>
      </c>
      <c r="E187" t="s">
        <v>672</v>
      </c>
      <c r="F187" t="s">
        <v>691</v>
      </c>
      <c r="G187" t="s">
        <v>750</v>
      </c>
      <c r="I187" s="7"/>
      <c r="J187" s="7"/>
      <c r="K187" s="7"/>
      <c r="L187" s="7"/>
      <c r="M187" s="7"/>
      <c r="N187" s="7"/>
    </row>
    <row r="188" spans="1:20">
      <c r="A188" s="1" t="s">
        <v>46</v>
      </c>
      <c r="B188" s="5">
        <v>2008</v>
      </c>
      <c r="C188" t="s">
        <v>858</v>
      </c>
      <c r="D188" t="s">
        <v>1093</v>
      </c>
      <c r="E188" t="s">
        <v>672</v>
      </c>
      <c r="F188" t="s">
        <v>691</v>
      </c>
      <c r="G188" t="s">
        <v>738</v>
      </c>
      <c r="I188" s="7"/>
      <c r="J188" s="7"/>
      <c r="K188" s="7"/>
      <c r="L188" s="7"/>
    </row>
    <row r="189" spans="1:20">
      <c r="A189" s="1" t="s">
        <v>46</v>
      </c>
      <c r="B189" s="5">
        <v>2009</v>
      </c>
      <c r="C189" t="s">
        <v>917</v>
      </c>
      <c r="D189" t="s">
        <v>1198</v>
      </c>
      <c r="E189" t="s">
        <v>791</v>
      </c>
      <c r="F189" t="s">
        <v>1096</v>
      </c>
      <c r="G189" t="s">
        <v>1011</v>
      </c>
      <c r="I189" s="7"/>
      <c r="J189" s="7"/>
      <c r="K189" s="7"/>
      <c r="L189" s="7"/>
    </row>
    <row r="190" spans="1:20">
      <c r="A190" s="1" t="s">
        <v>46</v>
      </c>
      <c r="B190" s="5">
        <v>2010</v>
      </c>
      <c r="C190" t="s">
        <v>858</v>
      </c>
      <c r="D190" t="s">
        <v>1199</v>
      </c>
      <c r="E190" t="s">
        <v>696</v>
      </c>
      <c r="F190" t="s">
        <v>1193</v>
      </c>
      <c r="G190" t="s">
        <v>1011</v>
      </c>
      <c r="I190" s="7"/>
      <c r="J190" s="7"/>
      <c r="K190" s="7"/>
      <c r="L190" s="7"/>
    </row>
    <row r="191" spans="1:20">
      <c r="A191" s="1" t="s">
        <v>46</v>
      </c>
      <c r="B191" s="5">
        <v>2011</v>
      </c>
      <c r="C191" t="s">
        <v>1200</v>
      </c>
      <c r="D191" t="s">
        <v>1082</v>
      </c>
      <c r="E191" t="s">
        <v>725</v>
      </c>
      <c r="F191" t="s">
        <v>759</v>
      </c>
      <c r="G191" t="s">
        <v>738</v>
      </c>
      <c r="I191" s="7"/>
      <c r="J191" s="7"/>
      <c r="K191" s="7"/>
      <c r="L191" s="7"/>
    </row>
    <row r="192" spans="1:20">
      <c r="A192" s="1" t="s">
        <v>46</v>
      </c>
      <c r="B192" s="5">
        <v>2012</v>
      </c>
      <c r="C192" t="s">
        <v>1201</v>
      </c>
      <c r="D192" t="s">
        <v>1085</v>
      </c>
      <c r="E192" t="s">
        <v>792</v>
      </c>
      <c r="F192" t="s">
        <v>978</v>
      </c>
      <c r="G192" t="s">
        <v>750</v>
      </c>
      <c r="I192" s="7"/>
      <c r="J192" s="7"/>
      <c r="K192" s="7"/>
      <c r="L192" s="7"/>
    </row>
    <row r="193" spans="1:12">
      <c r="A193" s="1" t="s">
        <v>46</v>
      </c>
      <c r="B193" s="5">
        <v>2013</v>
      </c>
      <c r="C193" t="s">
        <v>1202</v>
      </c>
      <c r="D193" t="s">
        <v>1190</v>
      </c>
      <c r="E193" t="s">
        <v>734</v>
      </c>
      <c r="F193" t="s">
        <v>1203</v>
      </c>
      <c r="G193" t="s">
        <v>1204</v>
      </c>
      <c r="I193" s="7"/>
      <c r="J193" s="7"/>
      <c r="K193" s="7"/>
      <c r="L193" s="7"/>
    </row>
    <row r="194" spans="1:12">
      <c r="A194" s="1" t="s">
        <v>46</v>
      </c>
      <c r="B194" s="5">
        <v>2014</v>
      </c>
      <c r="C194" t="s">
        <v>1205</v>
      </c>
      <c r="D194" t="s">
        <v>1206</v>
      </c>
      <c r="E194" t="s">
        <v>624</v>
      </c>
      <c r="F194" t="s">
        <v>680</v>
      </c>
      <c r="G194" t="s">
        <v>942</v>
      </c>
      <c r="I194" s="7"/>
      <c r="J194" s="7"/>
      <c r="K194" s="7"/>
      <c r="L194" s="7"/>
    </row>
    <row r="195" spans="1:12">
      <c r="A195" s="1" t="s">
        <v>46</v>
      </c>
      <c r="B195" s="5">
        <v>2015</v>
      </c>
      <c r="C195" t="s">
        <v>1063</v>
      </c>
      <c r="D195" t="s">
        <v>1207</v>
      </c>
      <c r="E195" t="s">
        <v>683</v>
      </c>
      <c r="F195" t="s">
        <v>684</v>
      </c>
      <c r="G195" t="s">
        <v>668</v>
      </c>
      <c r="I195" s="7"/>
      <c r="J195" s="7"/>
      <c r="K195" s="7"/>
      <c r="L195" s="7"/>
    </row>
    <row r="196" spans="1:12">
      <c r="A196" s="1" t="s">
        <v>46</v>
      </c>
      <c r="B196" s="5">
        <v>2016</v>
      </c>
      <c r="C196" t="s">
        <v>1128</v>
      </c>
      <c r="D196" t="s">
        <v>1093</v>
      </c>
      <c r="E196" t="s">
        <v>793</v>
      </c>
      <c r="F196" t="s">
        <v>1208</v>
      </c>
      <c r="G196" t="s">
        <v>760</v>
      </c>
    </row>
    <row r="197" spans="1:12">
      <c r="A197" s="1" t="s">
        <v>46</v>
      </c>
      <c r="B197" s="5">
        <v>2017</v>
      </c>
      <c r="C197" t="s">
        <v>1209</v>
      </c>
      <c r="D197" t="s">
        <v>1085</v>
      </c>
      <c r="E197" t="s">
        <v>708</v>
      </c>
      <c r="F197" t="s">
        <v>1210</v>
      </c>
      <c r="G197" t="s">
        <v>699</v>
      </c>
    </row>
    <row r="198" spans="1:12">
      <c r="A198" s="1" t="s">
        <v>46</v>
      </c>
      <c r="B198" s="5">
        <v>2018</v>
      </c>
      <c r="C198" t="s">
        <v>1211</v>
      </c>
      <c r="D198" t="s">
        <v>1192</v>
      </c>
      <c r="E198" t="s">
        <v>733</v>
      </c>
      <c r="F198" t="s">
        <v>769</v>
      </c>
      <c r="G198" t="s">
        <v>648</v>
      </c>
    </row>
    <row r="199" spans="1:12">
      <c r="A199" s="1" t="s">
        <v>46</v>
      </c>
      <c r="B199" s="5">
        <v>2019</v>
      </c>
      <c r="C199" t="s">
        <v>1129</v>
      </c>
      <c r="D199" t="s">
        <v>1017</v>
      </c>
      <c r="E199" t="s">
        <v>794</v>
      </c>
      <c r="F199" t="s">
        <v>1212</v>
      </c>
      <c r="G199" t="s">
        <v>595</v>
      </c>
    </row>
    <row r="200" spans="1:12">
      <c r="C200"/>
      <c r="D200"/>
      <c r="F200"/>
    </row>
  </sheetData>
  <autoFilter ref="A1:G199" xr:uid="{E8EB431A-AFC1-413E-8594-BA69C3DD07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BD0F-AF9A-440C-ABD5-89EBE2B153F0}">
  <dimension ref="A1:U56"/>
  <sheetViews>
    <sheetView zoomScale="70" zoomScaleNormal="70" workbookViewId="0">
      <selection activeCell="G28" sqref="G28"/>
    </sheetView>
  </sheetViews>
  <sheetFormatPr defaultRowHeight="14.4"/>
  <cols>
    <col min="1" max="1" width="12.77734375" style="4" bestFit="1" customWidth="1"/>
    <col min="2" max="2" width="8.88671875" style="4"/>
    <col min="3" max="3" width="53.44140625" style="4" bestFit="1" customWidth="1"/>
    <col min="4" max="4" width="9.44140625" style="4" bestFit="1" customWidth="1"/>
    <col min="5" max="16384" width="8.88671875" style="4"/>
  </cols>
  <sheetData>
    <row r="1" spans="1:21">
      <c r="A1" s="4" t="str">
        <f>raw!A1</f>
        <v>country</v>
      </c>
      <c r="B1" s="4" t="str">
        <f>raw!B1</f>
        <v>country_id</v>
      </c>
      <c r="C1" s="4" t="str">
        <f>raw!C1</f>
        <v>variable</v>
      </c>
      <c r="D1" s="4" t="str">
        <f>raw!D1</f>
        <v>2002</v>
      </c>
      <c r="E1" s="4" t="str">
        <f>raw!E1</f>
        <v>2003</v>
      </c>
      <c r="F1" s="4" t="str">
        <f>raw!F1</f>
        <v>2004</v>
      </c>
      <c r="G1" s="4" t="str">
        <f>raw!G1</f>
        <v>2005</v>
      </c>
      <c r="H1" s="4" t="str">
        <f>raw!H1</f>
        <v>2006</v>
      </c>
      <c r="I1" s="4" t="str">
        <f>raw!I1</f>
        <v>2007</v>
      </c>
      <c r="J1" s="4" t="str">
        <f>raw!J1</f>
        <v>2008</v>
      </c>
      <c r="K1" s="4" t="str">
        <f>raw!K1</f>
        <v>2009</v>
      </c>
      <c r="L1" s="4" t="str">
        <f>raw!L1</f>
        <v>2010</v>
      </c>
      <c r="M1" s="4" t="str">
        <f>raw!M1</f>
        <v>2011</v>
      </c>
      <c r="N1" s="4" t="str">
        <f>raw!N1</f>
        <v>2012</v>
      </c>
      <c r="O1" s="4" t="str">
        <f>raw!O1</f>
        <v>2013</v>
      </c>
      <c r="P1" s="4" t="str">
        <f>raw!P1</f>
        <v>2014</v>
      </c>
      <c r="Q1" s="4" t="str">
        <f>raw!Q1</f>
        <v>2015</v>
      </c>
      <c r="R1" s="4" t="str">
        <f>raw!R1</f>
        <v>2016</v>
      </c>
      <c r="S1" s="4" t="str">
        <f>raw!S1</f>
        <v>2017</v>
      </c>
      <c r="T1" s="4" t="str">
        <f>raw!T1</f>
        <v>2018</v>
      </c>
      <c r="U1" s="4" t="str">
        <f>raw!U1</f>
        <v>2019</v>
      </c>
    </row>
    <row r="2" spans="1:21">
      <c r="A2" s="4" t="str">
        <f>raw!A2</f>
        <v>Azerbaijan</v>
      </c>
      <c r="B2" s="4" t="str">
        <f>raw!B2</f>
        <v xml:space="preserve"> 🇦🇿</v>
      </c>
      <c r="C2" s="4" t="str">
        <f>raw!C2</f>
        <v>GDP per capita, PPP (constant 2021 international $)</v>
      </c>
      <c r="D2" s="4">
        <f>LN(raw!D2)</f>
        <v>8.7947730487817264</v>
      </c>
      <c r="E2" s="4">
        <f>LN(raw!E2)</f>
        <v>8.8843985592845058</v>
      </c>
      <c r="F2" s="4">
        <f>LN(raw!F2)</f>
        <v>8.9641477329216706</v>
      </c>
      <c r="G2" s="4">
        <f>LN(raw!G2)</f>
        <v>9.200484626245407</v>
      </c>
      <c r="H2" s="4">
        <f>LN(raw!H2)</f>
        <v>9.4858927735550278</v>
      </c>
      <c r="I2" s="4">
        <f>LN(raw!I2)</f>
        <v>9.6976977690202197</v>
      </c>
      <c r="J2" s="4">
        <f>LN(raw!J2)</f>
        <v>9.7788855143545224</v>
      </c>
      <c r="K2" s="4">
        <f>LN(raw!K2)</f>
        <v>9.8470169717794711</v>
      </c>
      <c r="L2" s="4">
        <f>LN(raw!L2)</f>
        <v>9.8843752884853995</v>
      </c>
      <c r="M2" s="4">
        <f>LN(raw!M2)</f>
        <v>9.8723447816465857</v>
      </c>
      <c r="N2" s="4">
        <f>LN(raw!N2)</f>
        <v>9.8804784547445621</v>
      </c>
      <c r="O2" s="4">
        <f>LN(raw!O2)</f>
        <v>9.9240169491843044</v>
      </c>
      <c r="P2" s="4">
        <f>LN(raw!P2)</f>
        <v>9.9386684590963732</v>
      </c>
      <c r="Q2" s="4">
        <f>LN(raw!Q2)</f>
        <v>9.937636713380849</v>
      </c>
      <c r="R2" s="4">
        <f>LN(raw!R2)</f>
        <v>9.8949674754226304</v>
      </c>
      <c r="S2" s="4">
        <f>LN(raw!S2)</f>
        <v>9.8871528594310618</v>
      </c>
      <c r="T2" s="4">
        <f>LN(raw!T2)</f>
        <v>9.8933783027611035</v>
      </c>
      <c r="U2" s="4">
        <f>LN(raw!U2)</f>
        <v>9.9096044487452595</v>
      </c>
    </row>
    <row r="3" spans="1:21">
      <c r="A3" s="4" t="str">
        <f>raw!A3</f>
        <v>Azerbaijan</v>
      </c>
      <c r="B3" s="4" t="str">
        <f>raw!B3</f>
        <v xml:space="preserve"> 🇦🇿</v>
      </c>
      <c r="C3" s="4" t="str">
        <f>raw!C3</f>
        <v>International tourism, number of arrivals</v>
      </c>
      <c r="D3" s="4">
        <f>LN(raw!D3)</f>
        <v>13.633988681340885</v>
      </c>
      <c r="E3" s="4">
        <f>LN(raw!E3)</f>
        <v>13.852806342707972</v>
      </c>
      <c r="F3" s="4">
        <f>LN(raw!F3)</f>
        <v>14.06158908056098</v>
      </c>
      <c r="G3" s="4">
        <f>LN(raw!G3)</f>
        <v>13.978479386242414</v>
      </c>
      <c r="H3" s="4">
        <f>LN(raw!H3)</f>
        <v>13.992819572934684</v>
      </c>
      <c r="I3" s="4">
        <f>LN(raw!I3)</f>
        <v>14.102942599160846</v>
      </c>
      <c r="J3" s="4">
        <f>LN(raw!J3)</f>
        <v>14.456837989794423</v>
      </c>
      <c r="K3" s="4">
        <f>LN(raw!K3)</f>
        <v>14.419826524817603</v>
      </c>
      <c r="L3" s="4">
        <f>LN(raw!L3)</f>
        <v>14.489984473258598</v>
      </c>
      <c r="M3" s="4">
        <f>LN(raw!M3)</f>
        <v>14.621539895580892</v>
      </c>
      <c r="N3" s="4">
        <f>LN(raw!N3)</f>
        <v>14.725380722035506</v>
      </c>
      <c r="O3" s="4">
        <f>LN(raw!O3)</f>
        <v>14.735394825348559</v>
      </c>
      <c r="P3" s="4">
        <f>LN(raw!P3)</f>
        <v>14.647549737390838</v>
      </c>
      <c r="Q3" s="4">
        <f>LN(raw!Q3)</f>
        <v>14.511653247504018</v>
      </c>
      <c r="R3" s="4">
        <f>LN(raw!R3)</f>
        <v>14.625996230941453</v>
      </c>
      <c r="S3" s="4">
        <f>LN(raw!S3)</f>
        <v>14.807650602121868</v>
      </c>
      <c r="T3" s="4">
        <f>LN(raw!T3)</f>
        <v>14.862829552244833</v>
      </c>
      <c r="U3" s="4">
        <f>LN(raw!U3)</f>
        <v>14.969242145853464</v>
      </c>
    </row>
    <row r="4" spans="1:21">
      <c r="A4" s="4" t="str">
        <f>raw!A4</f>
        <v>Azerbaijan</v>
      </c>
      <c r="B4" s="4" t="str">
        <f>raw!B4</f>
        <v xml:space="preserve"> 🇦🇿</v>
      </c>
      <c r="C4" s="4" t="str">
        <f>raw!C4</f>
        <v>Political Stability and Absence of Violence/Terrorism: Estimate</v>
      </c>
      <c r="D4" s="4">
        <f>raw!D4</f>
        <v>-1.1853649616241499</v>
      </c>
      <c r="E4" s="4">
        <f>raw!E4</f>
        <v>-0.94810038805007901</v>
      </c>
      <c r="F4" s="4">
        <f>raw!F4</f>
        <v>-1.0598111152648899</v>
      </c>
      <c r="G4" s="4">
        <f>raw!G4</f>
        <v>-1.1248193979263299</v>
      </c>
      <c r="H4" s="4">
        <f>raw!H4</f>
        <v>-1.0926823616027801</v>
      </c>
      <c r="I4" s="4">
        <f>raw!I4</f>
        <v>-0.62599641084670998</v>
      </c>
      <c r="J4" s="4">
        <f>raw!J4</f>
        <v>-0.330349981784821</v>
      </c>
      <c r="K4" s="4">
        <f>raw!K4</f>
        <v>-0.27785351872444197</v>
      </c>
      <c r="L4" s="4">
        <f>raw!L4</f>
        <v>-0.238546922802925</v>
      </c>
      <c r="M4" s="4">
        <f>raw!M4</f>
        <v>-0.53213596343994096</v>
      </c>
      <c r="N4" s="4">
        <f>raw!N4</f>
        <v>-0.71575182676315297</v>
      </c>
      <c r="O4" s="4">
        <f>raw!O4</f>
        <v>-0.412859916687012</v>
      </c>
      <c r="P4" s="4">
        <f>raw!P4</f>
        <v>-0.55990952253341697</v>
      </c>
      <c r="Q4" s="4">
        <f>raw!Q4</f>
        <v>-0.73391664028167702</v>
      </c>
      <c r="R4" s="4">
        <f>raw!R4</f>
        <v>-0.80890882015228305</v>
      </c>
      <c r="S4" s="4">
        <f>raw!S4</f>
        <v>-0.75190103054046598</v>
      </c>
      <c r="T4" s="4">
        <f>raw!T4</f>
        <v>-0.71139937639236495</v>
      </c>
      <c r="U4" s="4">
        <f>raw!U4</f>
        <v>-0.69341146945953402</v>
      </c>
    </row>
    <row r="5" spans="1:21">
      <c r="A5" s="4" t="str">
        <f>raw!A5</f>
        <v>Azerbaijan</v>
      </c>
      <c r="B5" s="4" t="str">
        <f>raw!B5</f>
        <v xml:space="preserve"> 🇦🇿</v>
      </c>
      <c r="C5" s="4" t="str">
        <f>raw!C5</f>
        <v>Official exchange rate (LCU per US$, period average)</v>
      </c>
      <c r="D5" s="4">
        <f>LN(raw!D5)</f>
        <v>-2.823059303538018E-2</v>
      </c>
      <c r="E5" s="4">
        <f>LN(raw!E5)</f>
        <v>-1.801530550779834E-2</v>
      </c>
      <c r="F5" s="4">
        <f>LN(raw!F5)</f>
        <v>-1.7455972844755391E-2</v>
      </c>
      <c r="G5" s="4">
        <f>LN(raw!G5)</f>
        <v>-5.6124948049731761E-2</v>
      </c>
      <c r="H5" s="4">
        <f>LN(raw!H5)</f>
        <v>-0.11267050195719334</v>
      </c>
      <c r="I5" s="4">
        <f>LN(raw!I5)</f>
        <v>-0.15300689125186137</v>
      </c>
      <c r="J5" s="4">
        <f>LN(raw!J5)</f>
        <v>-0.19647779049952274</v>
      </c>
      <c r="K5" s="4">
        <f>LN(raw!K5)</f>
        <v>-0.2184255320248365</v>
      </c>
      <c r="L5" s="4">
        <f>LN(raw!L5)</f>
        <v>-0.21983652555671376</v>
      </c>
      <c r="M5" s="4">
        <f>LN(raw!M5)</f>
        <v>-0.23611938842695121</v>
      </c>
      <c r="N5" s="4">
        <f>LN(raw!N5)</f>
        <v>-0.24124979771390587</v>
      </c>
      <c r="O5" s="4">
        <f>LN(raw!O5)</f>
        <v>-0.24265634964711971</v>
      </c>
      <c r="P5" s="4">
        <f>LN(raw!P5)</f>
        <v>-0.24290311703755232</v>
      </c>
      <c r="Q5" s="4">
        <f>LN(raw!Q5)</f>
        <v>2.4266979143833207E-2</v>
      </c>
      <c r="R5" s="4">
        <f>LN(raw!R5)</f>
        <v>0.46732603061605671</v>
      </c>
      <c r="S5" s="4">
        <f>LN(raw!S5)</f>
        <v>0.54299546218326911</v>
      </c>
      <c r="T5" s="4">
        <f>LN(raw!T5)</f>
        <v>0.53063805493568295</v>
      </c>
      <c r="U5" s="4">
        <f>LN(raw!U5)</f>
        <v>0.53062825106217038</v>
      </c>
    </row>
    <row r="6" spans="1:21">
      <c r="A6" s="4" t="s">
        <v>25</v>
      </c>
      <c r="B6" s="4" t="s">
        <v>26</v>
      </c>
      <c r="C6" s="4" t="str">
        <f>'Rule of Law'!C20</f>
        <v>Rule of Law: Estimate</v>
      </c>
      <c r="D6" s="4">
        <f>'Rule of Law'!AU20</f>
        <v>-0.964197218418121</v>
      </c>
      <c r="E6" s="4">
        <f>'Rule of Law'!AV20</f>
        <v>-0.88464474678039595</v>
      </c>
      <c r="F6" s="4">
        <f>'Rule of Law'!AW20</f>
        <v>-0.90051847696304299</v>
      </c>
      <c r="G6" s="4">
        <f>'Rule of Law'!AX20</f>
        <v>-0.79261243343353305</v>
      </c>
      <c r="H6" s="4">
        <f>'Rule of Law'!AY20</f>
        <v>-0.88592922687530495</v>
      </c>
      <c r="I6" s="4">
        <f>'Rule of Law'!AZ20</f>
        <v>-0.88002038002014205</v>
      </c>
      <c r="J6" s="4">
        <f>'Rule of Law'!BA20</f>
        <v>-0.83616048097610496</v>
      </c>
      <c r="K6" s="4">
        <f>'Rule of Law'!BB20</f>
        <v>-0.87917602062225297</v>
      </c>
      <c r="L6" s="4">
        <f>'Rule of Law'!BC20</f>
        <v>-0.89114505052566495</v>
      </c>
      <c r="M6" s="4">
        <f>'Rule of Law'!BD20</f>
        <v>-0.93872648477554299</v>
      </c>
      <c r="N6" s="4">
        <f>'Rule of Law'!BE20</f>
        <v>-0.87953269481658902</v>
      </c>
      <c r="O6" s="4">
        <f>'Rule of Law'!BF20</f>
        <v>-0.75626069307327304</v>
      </c>
      <c r="P6" s="4">
        <f>'Rule of Law'!BG20</f>
        <v>-0.69701200723648105</v>
      </c>
      <c r="Q6" s="4">
        <f>'Rule of Law'!BH20</f>
        <v>-0.71654456853866599</v>
      </c>
      <c r="R6" s="4">
        <f>'Rule of Law'!BI20</f>
        <v>-0.53935629129409801</v>
      </c>
      <c r="S6" s="4">
        <f>'Rule of Law'!BJ20</f>
        <v>-0.58492249250411998</v>
      </c>
      <c r="T6" s="4">
        <f>'Rule of Law'!BK20</f>
        <v>-0.619800806045532</v>
      </c>
      <c r="U6" s="4">
        <f>'Rule of Law'!BL20</f>
        <v>-0.61042803525924705</v>
      </c>
    </row>
    <row r="7" spans="1:21">
      <c r="A7" s="4" t="str">
        <f>raw!A7</f>
        <v>China</v>
      </c>
      <c r="B7" s="4" t="str">
        <f>raw!B7</f>
        <v xml:space="preserve"> 🇨🇳</v>
      </c>
      <c r="C7" s="4" t="str">
        <f>raw!C7</f>
        <v>GDP per capita, PPP (constant 2021 international $)</v>
      </c>
      <c r="D7" s="4">
        <f>LN(raw!D7)</f>
        <v>8.4448153448006664</v>
      </c>
      <c r="E7" s="4">
        <f>LN(raw!E7)</f>
        <v>8.5342425871380545</v>
      </c>
      <c r="F7" s="4">
        <f>LN(raw!F7)</f>
        <v>8.6246458273095765</v>
      </c>
      <c r="G7" s="4">
        <f>LN(raw!G7)</f>
        <v>8.7266731702531342</v>
      </c>
      <c r="H7" s="4">
        <f>LN(raw!H7)</f>
        <v>8.8408345863697431</v>
      </c>
      <c r="I7" s="4">
        <f>LN(raw!I7)</f>
        <v>8.9686631782748538</v>
      </c>
      <c r="J7" s="4">
        <f>LN(raw!J7)</f>
        <v>9.0556687895104524</v>
      </c>
      <c r="K7" s="4">
        <f>LN(raw!K7)</f>
        <v>9.140524030736989</v>
      </c>
      <c r="L7" s="4">
        <f>LN(raw!L7)</f>
        <v>9.2367686158716023</v>
      </c>
      <c r="M7" s="4">
        <f>LN(raw!M7)</f>
        <v>9.3225225162848542</v>
      </c>
      <c r="N7" s="4">
        <f>LN(raw!N7)</f>
        <v>9.3914376066697063</v>
      </c>
      <c r="O7" s="4">
        <f>LN(raw!O7)</f>
        <v>9.4595702935546786</v>
      </c>
      <c r="P7" s="4">
        <f>LN(raw!P7)</f>
        <v>9.5248968820463045</v>
      </c>
      <c r="Q7" s="4">
        <f>LN(raw!Q7)</f>
        <v>9.5871271456808955</v>
      </c>
      <c r="R7" s="4">
        <f>LN(raw!R7)</f>
        <v>9.6476408479123599</v>
      </c>
      <c r="S7" s="4">
        <f>LN(raw!S7)</f>
        <v>9.7087534739348182</v>
      </c>
      <c r="T7" s="4">
        <f>LN(raw!T7)</f>
        <v>9.7693941008534519</v>
      </c>
      <c r="U7" s="4">
        <f>LN(raw!U7)</f>
        <v>9.8236485169874541</v>
      </c>
    </row>
    <row r="8" spans="1:21">
      <c r="A8" s="4" t="str">
        <f>raw!A8</f>
        <v>China</v>
      </c>
      <c r="B8" s="4" t="str">
        <f>raw!B8</f>
        <v xml:space="preserve"> 🇨🇳</v>
      </c>
      <c r="C8" s="4" t="str">
        <f>raw!C8</f>
        <v>International tourism, number of arrivals</v>
      </c>
      <c r="D8" s="4">
        <f>LN(raw!D8)</f>
        <v>18.399538820198938</v>
      </c>
      <c r="E8" s="4">
        <f>LN(raw!E8)</f>
        <v>18.333618456575916</v>
      </c>
      <c r="F8" s="4">
        <f>LN(raw!F8)</f>
        <v>18.507207003291452</v>
      </c>
      <c r="G8" s="4">
        <f>LN(raw!G8)</f>
        <v>18.605432678318028</v>
      </c>
      <c r="H8" s="4">
        <f>LN(raw!H8)</f>
        <v>18.643360187585266</v>
      </c>
      <c r="I8" s="4">
        <f>LN(raw!I8)</f>
        <v>18.697349896202823</v>
      </c>
      <c r="J8" s="4">
        <f>LN(raw!J8)</f>
        <v>18.683252679162486</v>
      </c>
      <c r="K8" s="4">
        <f>LN(raw!K8)</f>
        <v>18.655563124811945</v>
      </c>
      <c r="L8" s="4">
        <f>LN(raw!L8)</f>
        <v>18.711572659341993</v>
      </c>
      <c r="M8" s="4">
        <f>LN(raw!M8)</f>
        <v>18.723913771077235</v>
      </c>
      <c r="N8" s="4">
        <f>LN(raw!N8)</f>
        <v>18.701375965104582</v>
      </c>
      <c r="O8" s="4">
        <f>LN(raw!O8)</f>
        <v>18.675927430760876</v>
      </c>
      <c r="P8" s="4">
        <f>LN(raw!P8)</f>
        <v>18.671431680168102</v>
      </c>
      <c r="Q8" s="4">
        <f>LN(raw!Q8)</f>
        <v>18.712006171318944</v>
      </c>
      <c r="R8" s="4">
        <f>LN(raw!R8)</f>
        <v>18.769744798409761</v>
      </c>
      <c r="S8" s="4">
        <f>LN(raw!S8)</f>
        <v>18.847646383506532</v>
      </c>
      <c r="T8" s="4">
        <f>LN(raw!T8)</f>
        <v>18.881933697470885</v>
      </c>
      <c r="U8" s="4">
        <f>LN(raw!U8)</f>
        <v>18.906422378550161</v>
      </c>
    </row>
    <row r="9" spans="1:21">
      <c r="A9" s="4" t="str">
        <f>raw!A9</f>
        <v>China</v>
      </c>
      <c r="B9" s="4" t="str">
        <f>raw!B9</f>
        <v xml:space="preserve"> 🇨🇳</v>
      </c>
      <c r="C9" s="4" t="str">
        <f>raw!C9</f>
        <v>Political Stability and Absence of Violence/Terrorism: Estimate</v>
      </c>
      <c r="D9" s="4">
        <f>raw!D9</f>
        <v>-0.32762718200683599</v>
      </c>
      <c r="E9" s="4">
        <f>raw!E9</f>
        <v>-0.56535792350768999</v>
      </c>
      <c r="F9" s="4">
        <f>raw!F9</f>
        <v>-0.39068067073821999</v>
      </c>
      <c r="G9" s="4">
        <f>raw!G9</f>
        <v>-0.50175660848617598</v>
      </c>
      <c r="H9" s="4">
        <f>raw!H9</f>
        <v>-0.54003012180328402</v>
      </c>
      <c r="I9" s="4">
        <f>raw!I9</f>
        <v>-0.50055372714996305</v>
      </c>
      <c r="J9" s="4">
        <f>raw!J9</f>
        <v>-0.49308842420577997</v>
      </c>
      <c r="K9" s="4">
        <f>raw!K9</f>
        <v>-0.45178133249282798</v>
      </c>
      <c r="L9" s="4">
        <f>raw!L9</f>
        <v>-0.65706068277358998</v>
      </c>
      <c r="M9" s="4">
        <f>raw!M9</f>
        <v>-0.60205483436584495</v>
      </c>
      <c r="N9" s="4">
        <f>raw!N9</f>
        <v>-0.53878206014633201</v>
      </c>
      <c r="O9" s="4">
        <f>raw!O9</f>
        <v>-0.543789923191071</v>
      </c>
      <c r="P9" s="4">
        <f>raw!P9</f>
        <v>-0.52258402109146096</v>
      </c>
      <c r="Q9" s="4">
        <f>raw!Q9</f>
        <v>-0.552559673786163</v>
      </c>
      <c r="R9" s="4">
        <f>raw!R9</f>
        <v>-0.50222134590148904</v>
      </c>
      <c r="S9" s="4">
        <f>raw!S9</f>
        <v>-0.23255810141563399</v>
      </c>
      <c r="T9" s="4">
        <f>raw!T9</f>
        <v>-0.29857248067855802</v>
      </c>
      <c r="U9" s="4">
        <f>raw!U9</f>
        <v>-0.25978067517280601</v>
      </c>
    </row>
    <row r="10" spans="1:21">
      <c r="A10" s="4" t="str">
        <f>raw!A10</f>
        <v>China</v>
      </c>
      <c r="B10" s="4" t="str">
        <f>raw!B10</f>
        <v xml:space="preserve"> 🇨🇳</v>
      </c>
      <c r="C10" s="4" t="str">
        <f>raw!C10</f>
        <v>Official exchange rate (LCU per US$, period average)</v>
      </c>
      <c r="D10" s="4">
        <f>LN(raw!D10)</f>
        <v>2.1134754491794321</v>
      </c>
      <c r="E10" s="4">
        <f>LN(raw!E10)</f>
        <v>2.1134850138398846</v>
      </c>
      <c r="F10" s="4">
        <f>LN(raw!F10)</f>
        <v>2.1134565209501419</v>
      </c>
      <c r="G10" s="4">
        <f>LN(raw!G10)</f>
        <v>2.1034408245417957</v>
      </c>
      <c r="H10" s="4">
        <f>LN(raw!H10)</f>
        <v>2.0761158092239329</v>
      </c>
      <c r="I10" s="4">
        <f>LN(raw!I10)</f>
        <v>2.0291388748797652</v>
      </c>
      <c r="J10" s="4">
        <f>LN(raw!J10)</f>
        <v>1.9385481156684305</v>
      </c>
      <c r="K10" s="4">
        <f>LN(raw!K10)</f>
        <v>1.9215319803166955</v>
      </c>
      <c r="L10" s="4">
        <f>LN(raw!L10)</f>
        <v>1.9125408244964366</v>
      </c>
      <c r="M10" s="4">
        <f>LN(raw!M10)</f>
        <v>1.8658555037527964</v>
      </c>
      <c r="N10" s="4">
        <f>LN(raw!N10)</f>
        <v>1.8425053113726795</v>
      </c>
      <c r="O10" s="4">
        <f>LN(raw!O10)</f>
        <v>1.8238649201933799</v>
      </c>
      <c r="P10" s="4">
        <f>LN(raw!P10)</f>
        <v>1.8153838845864414</v>
      </c>
      <c r="Q10" s="4">
        <f>LN(raw!Q10)</f>
        <v>1.8289731492821388</v>
      </c>
      <c r="R10" s="4">
        <f>LN(raw!R10)</f>
        <v>1.8937861081064262</v>
      </c>
      <c r="S10" s="4">
        <f>LN(raw!S10)</f>
        <v>1.910838714269514</v>
      </c>
      <c r="T10" s="4">
        <f>LN(raw!T10)</f>
        <v>1.8894844851119286</v>
      </c>
      <c r="U10" s="4">
        <f>LN(raw!U10)</f>
        <v>1.9327358926527518</v>
      </c>
    </row>
    <row r="11" spans="1:21">
      <c r="A11" s="4" t="s">
        <v>27</v>
      </c>
      <c r="B11" s="4" t="s">
        <v>28</v>
      </c>
      <c r="C11" s="4" t="str">
        <f>raw!C11</f>
        <v>Rule of Law: Estimate</v>
      </c>
      <c r="D11" s="4">
        <f>raw!D11</f>
        <v>-0.964197218418121</v>
      </c>
      <c r="E11" s="4">
        <f>raw!E11</f>
        <v>-0.88464474678039595</v>
      </c>
      <c r="F11" s="4">
        <f>raw!F11</f>
        <v>-0.90051847696304299</v>
      </c>
      <c r="G11" s="4">
        <f>raw!G11</f>
        <v>-0.79261243343353305</v>
      </c>
      <c r="H11" s="4">
        <f>raw!H11</f>
        <v>-0.88592922687530495</v>
      </c>
      <c r="I11" s="4">
        <f>raw!I11</f>
        <v>-0.88002038002014205</v>
      </c>
      <c r="J11" s="4">
        <f>raw!J11</f>
        <v>-0.83616048097610496</v>
      </c>
      <c r="K11" s="4">
        <f>raw!K11</f>
        <v>-0.87917602062225297</v>
      </c>
      <c r="L11" s="4">
        <f>raw!L11</f>
        <v>-0.89114505052566495</v>
      </c>
      <c r="M11" s="4">
        <f>raw!M11</f>
        <v>-0.93872648477554299</v>
      </c>
      <c r="N11" s="4">
        <f>raw!N11</f>
        <v>-0.87953269481658902</v>
      </c>
      <c r="O11" s="4">
        <f>raw!O11</f>
        <v>-0.75626069307327304</v>
      </c>
      <c r="P11" s="4">
        <f>raw!P11</f>
        <v>-0.69701200723648105</v>
      </c>
      <c r="Q11" s="4">
        <f>raw!Q11</f>
        <v>-0.71654456853866599</v>
      </c>
      <c r="R11" s="4">
        <f>raw!R11</f>
        <v>-0.53935629129409801</v>
      </c>
      <c r="S11" s="4">
        <f>raw!S11</f>
        <v>-0.58492249250411998</v>
      </c>
      <c r="T11" s="4">
        <f>raw!T11</f>
        <v>-0.619800806045532</v>
      </c>
      <c r="U11" s="4">
        <f>raw!U11</f>
        <v>-0.61042803525924705</v>
      </c>
    </row>
    <row r="12" spans="1:21">
      <c r="A12" s="4" t="str">
        <f>raw!A12</f>
        <v>Egypt</v>
      </c>
      <c r="B12" s="4" t="str">
        <f>raw!B12</f>
        <v xml:space="preserve"> 🇪🇬</v>
      </c>
      <c r="C12" s="4" t="str">
        <f>raw!C12</f>
        <v>GDP per capita, PPP (constant 2021 international $)</v>
      </c>
      <c r="D12" s="4">
        <f>LN( raw!D12)</f>
        <v>9.2245890108211377</v>
      </c>
      <c r="E12" s="4">
        <f>LN( raw!E12)</f>
        <v>9.2350697204816274</v>
      </c>
      <c r="F12" s="4">
        <f>LN( raw!F12)</f>
        <v>9.2545315724531463</v>
      </c>
      <c r="G12" s="4">
        <f>LN( raw!G12)</f>
        <v>9.2780559382061494</v>
      </c>
      <c r="H12" s="4">
        <f>LN( raw!H12)</f>
        <v>9.3247249302736659</v>
      </c>
      <c r="I12" s="4">
        <f>LN( raw!I12)</f>
        <v>9.3743287374266551</v>
      </c>
      <c r="J12" s="4">
        <f>LN( raw!J12)</f>
        <v>9.4247728730193412</v>
      </c>
      <c r="K12" s="4">
        <f>LN( raw!K12)</f>
        <v>9.451565969955789</v>
      </c>
      <c r="L12" s="4">
        <f>LN( raw!L12)</f>
        <v>9.4825778762377002</v>
      </c>
      <c r="M12" s="4">
        <f>LN( raw!M12)</f>
        <v>9.4790251099538292</v>
      </c>
      <c r="N12" s="4">
        <f>LN( raw!N12)</f>
        <v>9.4785953474401925</v>
      </c>
      <c r="O12" s="4">
        <f>LN( raw!O12)</f>
        <v>9.4771619818516015</v>
      </c>
      <c r="P12" s="4">
        <f>LN( raw!P12)</f>
        <v>9.4831396654877764</v>
      </c>
      <c r="Q12" s="4">
        <f>LN( raw!Q12)</f>
        <v>9.504941847049631</v>
      </c>
      <c r="R12" s="4">
        <f>LN( raw!R12)</f>
        <v>9.5271432983605564</v>
      </c>
      <c r="S12" s="4">
        <f>LN( raw!S12)</f>
        <v>9.5481232203314317</v>
      </c>
      <c r="T12" s="4">
        <f>LN( raw!T12)</f>
        <v>9.5810904551495693</v>
      </c>
      <c r="U12" s="4">
        <f>LN( raw!U12)</f>
        <v>9.6175751295845853</v>
      </c>
    </row>
    <row r="13" spans="1:21">
      <c r="A13" s="4" t="str">
        <f>raw!A13</f>
        <v>Egypt</v>
      </c>
      <c r="B13" s="4" t="str">
        <f>raw!B13</f>
        <v xml:space="preserve"> 🇪🇬</v>
      </c>
      <c r="C13" s="4" t="str">
        <f>raw!C13</f>
        <v>International tourism, number of arrivals</v>
      </c>
      <c r="D13" s="4">
        <f>LN(raw!D13)</f>
        <v>15.462629537366062</v>
      </c>
      <c r="E13" s="4">
        <f>LN(raw!E13)</f>
        <v>15.614576602374767</v>
      </c>
      <c r="F13" s="4">
        <f>LN(raw!F13)</f>
        <v>15.907868324910657</v>
      </c>
      <c r="G13" s="4">
        <f>LN(raw!G13)</f>
        <v>15.968202561383702</v>
      </c>
      <c r="H13" s="4">
        <f>LN(raw!H13)</f>
        <v>16.021915092484349</v>
      </c>
      <c r="I13" s="4">
        <f>LN(raw!I13)</f>
        <v>16.221644526586878</v>
      </c>
      <c r="J13" s="4">
        <f>LN(raw!J13)</f>
        <v>16.367686372287377</v>
      </c>
      <c r="K13" s="4">
        <f>LN(raw!K13)</f>
        <v>16.344115063017995</v>
      </c>
      <c r="L13" s="4">
        <f>LN(raw!L13)</f>
        <v>16.505464674797075</v>
      </c>
      <c r="M13" s="4">
        <f>LN(raw!M13)</f>
        <v>16.102474270055364</v>
      </c>
      <c r="N13" s="4">
        <f>LN(raw!N13)</f>
        <v>16.260636337740429</v>
      </c>
      <c r="O13" s="4">
        <f>LN(raw!O13)</f>
        <v>16.063005684640359</v>
      </c>
      <c r="P13" s="4">
        <f>LN(raw!P13)</f>
        <v>16.105820620082707</v>
      </c>
      <c r="Q13" s="4">
        <f>LN(raw!Q13)</f>
        <v>16.048531187572411</v>
      </c>
      <c r="R13" s="4">
        <f>LN(raw!R13)</f>
        <v>15.501724309200425</v>
      </c>
      <c r="S13" s="4">
        <f>LN(raw!S13)</f>
        <v>15.930801752537807</v>
      </c>
      <c r="T13" s="4">
        <f>LN(raw!T13)</f>
        <v>16.244375816868651</v>
      </c>
      <c r="U13" s="4">
        <f>LN(raw!U13)</f>
        <v>16.382457918088484</v>
      </c>
    </row>
    <row r="14" spans="1:21">
      <c r="A14" s="4" t="str">
        <f>raw!A14</f>
        <v>Egypt</v>
      </c>
      <c r="B14" s="4" t="str">
        <f>raw!B14</f>
        <v xml:space="preserve"> 🇪🇬</v>
      </c>
      <c r="C14" s="4" t="str">
        <f>raw!C14</f>
        <v>Political Stability and Absence of Violence/Terrorism: Estimate</v>
      </c>
      <c r="D14" s="4">
        <f>raw!D14</f>
        <v>-0.414172112941742</v>
      </c>
      <c r="E14" s="4">
        <f>raw!E14</f>
        <v>-0.640924513339996</v>
      </c>
      <c r="F14" s="4">
        <f>raw!F14</f>
        <v>-0.82240170240402199</v>
      </c>
      <c r="G14" s="4">
        <f>raw!G14</f>
        <v>-0.62935864925384499</v>
      </c>
      <c r="H14" s="4">
        <f>raw!H14</f>
        <v>-0.83780765533447299</v>
      </c>
      <c r="I14" s="4">
        <f>raw!I14</f>
        <v>-0.552382111549377</v>
      </c>
      <c r="J14" s="4">
        <f>raw!J14</f>
        <v>-0.51043170690536499</v>
      </c>
      <c r="K14" s="4">
        <f>raw!K14</f>
        <v>-0.60722708702087402</v>
      </c>
      <c r="L14" s="4">
        <f>raw!L14</f>
        <v>-0.89841830730438199</v>
      </c>
      <c r="M14" s="4">
        <f>raw!M14</f>
        <v>-1.43705701828003</v>
      </c>
      <c r="N14" s="4">
        <f>raw!N14</f>
        <v>-1.43632972240448</v>
      </c>
      <c r="O14" s="4">
        <f>raw!O14</f>
        <v>-1.6388309001922601</v>
      </c>
      <c r="P14" s="4">
        <f>raw!P14</f>
        <v>-1.63117659091949</v>
      </c>
      <c r="Q14" s="4">
        <f>raw!Q14</f>
        <v>-1.4993321895599401</v>
      </c>
      <c r="R14" s="4">
        <f>raw!R14</f>
        <v>-1.4397268295288099</v>
      </c>
      <c r="S14" s="4">
        <f>raw!S14</f>
        <v>-1.4296458959579501</v>
      </c>
      <c r="T14" s="4">
        <f>raw!T14</f>
        <v>-1.18812155723572</v>
      </c>
      <c r="U14" s="4">
        <f>raw!U14</f>
        <v>-1.1246308088302599</v>
      </c>
    </row>
    <row r="15" spans="1:21">
      <c r="A15" s="4" t="str">
        <f>raw!A15</f>
        <v>Egypt</v>
      </c>
      <c r="B15" s="4" t="str">
        <f>raw!B15</f>
        <v xml:space="preserve"> 🇪🇬</v>
      </c>
      <c r="C15" s="4" t="str">
        <f>raw!C15</f>
        <v>Official exchange rate (LCU per US$, period average)</v>
      </c>
      <c r="D15" s="4">
        <f>LN(raw!D15)</f>
        <v>1.5040033199585809</v>
      </c>
      <c r="E15" s="4">
        <f>LN(raw!E15)</f>
        <v>1.7665912227084644</v>
      </c>
      <c r="F15" s="4">
        <f>LN(raw!F15)</f>
        <v>1.8239429254522723</v>
      </c>
      <c r="G15" s="4">
        <f>LN(raw!G15)</f>
        <v>1.7542018168666924</v>
      </c>
      <c r="H15" s="4">
        <f>LN(raw!H15)</f>
        <v>1.7462680249613207</v>
      </c>
      <c r="I15" s="4">
        <f>LN(raw!I15)</f>
        <v>1.7290740448604101</v>
      </c>
      <c r="J15" s="4">
        <f>LN(raw!J15)</f>
        <v>1.6923994331484478</v>
      </c>
      <c r="K15" s="4">
        <f>LN(raw!K15)</f>
        <v>1.7128160600514977</v>
      </c>
      <c r="L15" s="4">
        <f>LN(raw!L15)</f>
        <v>1.7266773190372944</v>
      </c>
      <c r="M15" s="4">
        <f>LN(raw!M15)</f>
        <v>1.7805009377251519</v>
      </c>
      <c r="N15" s="4">
        <f>LN(raw!N15)</f>
        <v>1.8010591484093201</v>
      </c>
      <c r="O15" s="4">
        <f>LN(raw!O15)</f>
        <v>1.9272114122477708</v>
      </c>
      <c r="P15" s="4">
        <f>LN(raw!P15)</f>
        <v>1.9569360767214692</v>
      </c>
      <c r="Q15" s="4">
        <f>LN(raw!Q15)</f>
        <v>2.0400844025542879</v>
      </c>
      <c r="R15" s="4">
        <f>LN(raw!R15)</f>
        <v>2.3051219513008792</v>
      </c>
      <c r="S15" s="4">
        <f>LN(raw!S15)</f>
        <v>2.8782167123454556</v>
      </c>
      <c r="T15" s="4">
        <f>LN(raw!T15)</f>
        <v>2.8773591500568694</v>
      </c>
      <c r="U15" s="4">
        <f>LN(raw!U15)</f>
        <v>2.8196262706939654</v>
      </c>
    </row>
    <row r="16" spans="1:21">
      <c r="A16" s="4" t="s">
        <v>43</v>
      </c>
      <c r="B16" s="4" t="s">
        <v>29</v>
      </c>
      <c r="C16" s="4" t="str">
        <f>raw!C16</f>
        <v>Rule of Law: Estimate</v>
      </c>
      <c r="D16" s="4">
        <f>raw!D16</f>
        <v>-1.14680724218488E-2</v>
      </c>
      <c r="E16" s="4">
        <f>raw!E16</f>
        <v>-2.3544689174741498E-3</v>
      </c>
      <c r="F16" s="4">
        <f>raw!F16</f>
        <v>1.3317895121872401E-2</v>
      </c>
      <c r="G16" s="4">
        <f>raw!G16</f>
        <v>-1.2232348090037699E-3</v>
      </c>
      <c r="H16" s="4">
        <f>raw!H16</f>
        <v>-0.27896744012832603</v>
      </c>
      <c r="I16" s="4">
        <f>raw!I16</f>
        <v>-0.24621348083019301</v>
      </c>
      <c r="J16" s="4">
        <f>raw!J16</f>
        <v>-0.129783600568771</v>
      </c>
      <c r="K16" s="4">
        <f>raw!K16</f>
        <v>-8.3344995975494399E-2</v>
      </c>
      <c r="L16" s="4">
        <f>raw!L16</f>
        <v>-0.17486386001110099</v>
      </c>
      <c r="M16" s="4">
        <f>raw!M16</f>
        <v>-0.48389309644699102</v>
      </c>
      <c r="N16" s="4">
        <f>raw!N16</f>
        <v>-0.53639984130859397</v>
      </c>
      <c r="O16" s="4">
        <f>raw!O16</f>
        <v>-0.73585569858551003</v>
      </c>
      <c r="P16" s="4">
        <f>raw!P16</f>
        <v>-0.69840240478515603</v>
      </c>
      <c r="Q16" s="4">
        <f>raw!Q16</f>
        <v>-0.60183113813400302</v>
      </c>
      <c r="R16" s="4">
        <f>raw!R16</f>
        <v>-0.47747579216957098</v>
      </c>
      <c r="S16" s="4">
        <f>raw!S16</f>
        <v>-0.44803613424301098</v>
      </c>
      <c r="T16" s="4">
        <f>raw!T16</f>
        <v>-0.30144557356834401</v>
      </c>
      <c r="U16" s="4">
        <f>raw!U16</f>
        <v>-0.33212333917617798</v>
      </c>
    </row>
    <row r="17" spans="1:21">
      <c r="A17" s="4" t="str">
        <f>raw!A17</f>
        <v>Georgia</v>
      </c>
      <c r="B17" s="4" t="str">
        <f>raw!B17</f>
        <v xml:space="preserve"> 🇬🇪</v>
      </c>
      <c r="C17" s="4" t="str">
        <f>raw!C17</f>
        <v>GDP per capita, PPP (constant 2021 international $)</v>
      </c>
      <c r="D17" s="4">
        <f>LN(raw!D17)</f>
        <v>8.7740539387740348</v>
      </c>
      <c r="E17" s="4">
        <f>LN(raw!E17)</f>
        <v>8.8856812730215093</v>
      </c>
      <c r="F17" s="4">
        <f>LN(raw!F17)</f>
        <v>8.9481850686844719</v>
      </c>
      <c r="G17" s="4">
        <f>LN(raw!G17)</f>
        <v>9.0461243214592812</v>
      </c>
      <c r="H17" s="4">
        <f>LN(raw!H17)</f>
        <v>9.1418462044230022</v>
      </c>
      <c r="I17" s="4">
        <f>LN(raw!I17)</f>
        <v>9.2655172136876338</v>
      </c>
      <c r="J17" s="4">
        <f>LN(raw!J17)</f>
        <v>9.2924827015433014</v>
      </c>
      <c r="K17" s="4">
        <f>LN(raw!K17)</f>
        <v>9.2641739528627536</v>
      </c>
      <c r="L17" s="4">
        <f>LN(raw!L17)</f>
        <v>9.3320595257646257</v>
      </c>
      <c r="M17" s="4">
        <f>LN(raw!M17)</f>
        <v>9.4164340272576652</v>
      </c>
      <c r="N17" s="4">
        <f>LN(raw!N17)</f>
        <v>9.4875144051628215</v>
      </c>
      <c r="O17" s="4">
        <f>LN(raw!O17)</f>
        <v>9.5405790649829676</v>
      </c>
      <c r="P17" s="4">
        <f>LN(raw!P17)</f>
        <v>9.5801999626973515</v>
      </c>
      <c r="Q17" s="4">
        <f>LN(raw!Q17)</f>
        <v>9.6115861520033281</v>
      </c>
      <c r="R17" s="4">
        <f>LN(raw!R17)</f>
        <v>9.644908284251942</v>
      </c>
      <c r="S17" s="4">
        <f>LN(raw!S17)</f>
        <v>9.6950863113284989</v>
      </c>
      <c r="T17" s="4">
        <f>LN(raw!T17)</f>
        <v>9.754330662900653</v>
      </c>
      <c r="U17" s="4">
        <f>LN(raw!U17)</f>
        <v>9.8084558245224436</v>
      </c>
    </row>
    <row r="18" spans="1:21">
      <c r="A18" s="4" t="str">
        <f>raw!A18</f>
        <v>Georgia</v>
      </c>
      <c r="B18" s="4" t="str">
        <f>raw!B18</f>
        <v xml:space="preserve"> 🇬🇪</v>
      </c>
      <c r="C18" s="4" t="str">
        <f>raw!C18</f>
        <v>International tourism, number of arrivals</v>
      </c>
      <c r="D18" s="4">
        <f>LN( raw!D18)</f>
        <v>12.604848765487542</v>
      </c>
      <c r="E18" s="4">
        <f>LN( raw!E18)</f>
        <v>12.653958469522291</v>
      </c>
      <c r="F18" s="4">
        <f>LN( raw!F18)</f>
        <v>12.815838217151068</v>
      </c>
      <c r="G18" s="4">
        <f>LN( raw!G18)</f>
        <v>13.235692062711331</v>
      </c>
      <c r="H18" s="4">
        <f>LN( raw!H18)</f>
        <v>13.798364399129303</v>
      </c>
      <c r="I18" s="4">
        <f>LN( raw!I18)</f>
        <v>13.866203672279791</v>
      </c>
      <c r="J18" s="4">
        <f>LN( raw!J18)</f>
        <v>14.070152776337855</v>
      </c>
      <c r="K18" s="4">
        <f>LN( raw!K18)</f>
        <v>14.220975666072439</v>
      </c>
      <c r="L18" s="4">
        <f>LN( raw!L18)</f>
        <v>14.52453108768051</v>
      </c>
      <c r="M18" s="4">
        <f>LN( raw!M18)</f>
        <v>14.813196928042423</v>
      </c>
      <c r="N18" s="4">
        <f>LN( raw!N18)</f>
        <v>15.227959876561016</v>
      </c>
      <c r="O18" s="4">
        <f>LN( raw!O18)</f>
        <v>15.415705889031441</v>
      </c>
      <c r="P18" s="4">
        <f>LN( raw!P18)</f>
        <v>15.425748150568939</v>
      </c>
      <c r="Q18" s="4">
        <f>LN( raw!Q18)</f>
        <v>15.474880839146584</v>
      </c>
      <c r="R18" s="4">
        <f>LN( raw!R18)</f>
        <v>15.500612374319363</v>
      </c>
      <c r="S18" s="4">
        <f>LN( raw!S18)</f>
        <v>15.684693924157132</v>
      </c>
      <c r="T18" s="4">
        <f>LN( raw!T18)</f>
        <v>15.7900081638715</v>
      </c>
      <c r="U18" s="4">
        <f>LN( raw!U18)</f>
        <v>15.860101822208364</v>
      </c>
    </row>
    <row r="19" spans="1:21">
      <c r="A19" s="4" t="str">
        <f>raw!A19</f>
        <v>Georgia</v>
      </c>
      <c r="B19" s="4" t="str">
        <f>raw!B19</f>
        <v xml:space="preserve"> 🇬🇪</v>
      </c>
      <c r="C19" s="4" t="str">
        <f>raw!C19</f>
        <v>Political Stability and Absence of Violence/Terrorism: Estimate</v>
      </c>
      <c r="D19" s="4">
        <f>raw!D19</f>
        <v>-1.1920413970947299</v>
      </c>
      <c r="E19" s="4">
        <f>raw!E19</f>
        <v>-1.29921066761017</v>
      </c>
      <c r="F19" s="4">
        <f>raw!F19</f>
        <v>-0.86411815881729104</v>
      </c>
      <c r="G19" s="4">
        <f>raw!G19</f>
        <v>-0.75590491294860795</v>
      </c>
      <c r="H19" s="4">
        <f>raw!H19</f>
        <v>-0.96609878540039096</v>
      </c>
      <c r="I19" s="4">
        <f>raw!I19</f>
        <v>-0.645898997783661</v>
      </c>
      <c r="J19" s="4">
        <f>raw!J19</f>
        <v>-0.91967511177062999</v>
      </c>
      <c r="K19" s="4">
        <f>raw!K19</f>
        <v>-0.96552491188049305</v>
      </c>
      <c r="L19" s="4">
        <f>raw!L19</f>
        <v>-0.71832090616226196</v>
      </c>
      <c r="M19" s="4">
        <f>raw!M19</f>
        <v>-0.65695196390152</v>
      </c>
      <c r="N19" s="4">
        <f>raw!N19</f>
        <v>-0.68045395612716697</v>
      </c>
      <c r="O19" s="4">
        <f>raw!O19</f>
        <v>-0.44136616587638899</v>
      </c>
      <c r="P19" s="4">
        <f>raw!P19</f>
        <v>-0.32150754332542397</v>
      </c>
      <c r="Q19" s="4">
        <f>raw!Q19</f>
        <v>-0.47215375304222101</v>
      </c>
      <c r="R19" s="4">
        <f>raw!R19</f>
        <v>-0.32011508941650402</v>
      </c>
      <c r="S19" s="4">
        <f>raw!S19</f>
        <v>-0.37521475553512601</v>
      </c>
      <c r="T19" s="4">
        <f>raw!T19</f>
        <v>-0.44756287336349498</v>
      </c>
      <c r="U19" s="4">
        <f>raw!U19</f>
        <v>-0.49817195534706099</v>
      </c>
    </row>
    <row r="20" spans="1:21">
      <c r="A20" s="4" t="str">
        <f>raw!A20</f>
        <v>Georgia</v>
      </c>
      <c r="B20" s="4" t="str">
        <f>raw!B20</f>
        <v xml:space="preserve"> 🇬🇪</v>
      </c>
      <c r="C20" s="4" t="str">
        <f>raw!C20</f>
        <v>Official exchange rate (LCU per US$, period average)</v>
      </c>
      <c r="D20" s="4">
        <f>LN(raw!D20)</f>
        <v>0.78648951633773001</v>
      </c>
      <c r="E20" s="4">
        <f>LN(raw!E20)</f>
        <v>0.76344253677860163</v>
      </c>
      <c r="F20" s="4">
        <f>LN(raw!F20)</f>
        <v>0.65057887045116802</v>
      </c>
      <c r="G20" s="4">
        <f>LN(raw!G20)</f>
        <v>0.59480365481001307</v>
      </c>
      <c r="H20" s="4">
        <f>LN(raw!H20)</f>
        <v>0.57685678036878152</v>
      </c>
      <c r="I20" s="4">
        <f>LN(raw!I20)</f>
        <v>0.51311799427584415</v>
      </c>
      <c r="J20" s="4">
        <f>LN(raw!J20)</f>
        <v>0.39930729876743837</v>
      </c>
      <c r="K20" s="4">
        <f>LN(raw!K20)</f>
        <v>0.51311525861494744</v>
      </c>
      <c r="L20" s="4">
        <f>LN(raw!L20)</f>
        <v>0.57792804280653909</v>
      </c>
      <c r="M20" s="4">
        <f>LN(raw!M20)</f>
        <v>0.52265266582572756</v>
      </c>
      <c r="N20" s="4">
        <f>LN(raw!N20)</f>
        <v>0.5015376235234682</v>
      </c>
      <c r="O20" s="4">
        <f>LN(raw!O20)</f>
        <v>0.50883364108519757</v>
      </c>
      <c r="P20" s="4">
        <f>LN(raw!P20)</f>
        <v>0.56852833389428181</v>
      </c>
      <c r="Q20" s="4">
        <f>LN(raw!Q20)</f>
        <v>0.81948977474663376</v>
      </c>
      <c r="R20" s="4">
        <f>LN(raw!R20)</f>
        <v>0.8615071429627299</v>
      </c>
      <c r="S20" s="4">
        <f>LN(raw!S20)</f>
        <v>0.92010013354810372</v>
      </c>
      <c r="T20" s="4">
        <f>LN(raw!T20)</f>
        <v>0.92984281943231717</v>
      </c>
      <c r="U20" s="4">
        <f>LN(raw!U20)</f>
        <v>1.0360788670853052</v>
      </c>
    </row>
    <row r="21" spans="1:21">
      <c r="A21" s="4" t="str">
        <f>raw!A21</f>
        <v>Georgia</v>
      </c>
      <c r="B21" s="4" t="str">
        <f>raw!B21</f>
        <v xml:space="preserve"> 🇬🇪</v>
      </c>
      <c r="C21" s="4" t="str">
        <f>raw!C21</f>
        <v>Rule of Law: Estimate</v>
      </c>
      <c r="D21" s="4">
        <f>raw!D21</f>
        <v>-1.0840562582016</v>
      </c>
      <c r="E21" s="4">
        <f>raw!E21</f>
        <v>-0.91225409507751498</v>
      </c>
      <c r="F21" s="4">
        <f>raw!F21</f>
        <v>-0.74976998567581199</v>
      </c>
      <c r="G21" s="4">
        <f>raw!G21</f>
        <v>-0.69596260786056496</v>
      </c>
      <c r="H21" s="4">
        <f>raw!H21</f>
        <v>-0.46166732907295199</v>
      </c>
      <c r="I21" s="4">
        <f>raw!I21</f>
        <v>-0.34445914626121499</v>
      </c>
      <c r="J21" s="4">
        <f>raw!J21</f>
        <v>-0.26294445991516102</v>
      </c>
      <c r="K21" s="4">
        <f>raw!K21</f>
        <v>-0.19931532442569699</v>
      </c>
      <c r="L21" s="4">
        <f>raw!L21</f>
        <v>-0.20598497986793499</v>
      </c>
      <c r="M21" s="4">
        <f>raw!M21</f>
        <v>-0.119617037475109</v>
      </c>
      <c r="N21" s="4">
        <f>raw!N21</f>
        <v>-6.2173483893275304E-3</v>
      </c>
      <c r="O21" s="4">
        <f>raw!O21</f>
        <v>4.9099563620984598E-3</v>
      </c>
      <c r="P21" s="4">
        <f>raw!P21</f>
        <v>0.22474896907806399</v>
      </c>
      <c r="Q21" s="4">
        <f>raw!Q21</f>
        <v>0.22280541062355</v>
      </c>
      <c r="R21" s="4">
        <f>raw!R21</f>
        <v>0.33577191829681402</v>
      </c>
      <c r="S21" s="4">
        <f>raw!S21</f>
        <v>0.26274272799491899</v>
      </c>
      <c r="T21" s="4">
        <f>raw!T21</f>
        <v>0.27051076292991599</v>
      </c>
      <c r="U21" s="4">
        <f>raw!U21</f>
        <v>0.24869154393672899</v>
      </c>
    </row>
    <row r="22" spans="1:21">
      <c r="A22" s="4" t="str">
        <f>raw!A22</f>
        <v>India</v>
      </c>
      <c r="B22" s="4" t="str">
        <f>raw!B22</f>
        <v xml:space="preserve"> 🇮🇳</v>
      </c>
      <c r="C22" s="4" t="str">
        <f>raw!C22</f>
        <v>GDP per capita, PPP (constant 2021 international $)</v>
      </c>
      <c r="D22" s="4">
        <f>LN(raw!D22)</f>
        <v>8.0866243002493299</v>
      </c>
      <c r="E22" s="4">
        <f>LN(raw!E22)</f>
        <v>8.1449479204911697</v>
      </c>
      <c r="F22" s="4">
        <f>LN(raw!F22)</f>
        <v>8.2041594523614254</v>
      </c>
      <c r="G22" s="4">
        <f>LN(raw!G22)</f>
        <v>8.2640970516423966</v>
      </c>
      <c r="H22" s="4">
        <f>LN(raw!H22)</f>
        <v>8.3259790210992595</v>
      </c>
      <c r="I22" s="4">
        <f>LN(raw!I22)</f>
        <v>8.3847346045267184</v>
      </c>
      <c r="J22" s="4">
        <f>LN(raw!J22)</f>
        <v>8.4007470632689163</v>
      </c>
      <c r="K22" s="4">
        <f>LN(raw!K22)</f>
        <v>8.4619683057348052</v>
      </c>
      <c r="L22" s="4">
        <f>LN(raw!L22)</f>
        <v>8.5289799954820449</v>
      </c>
      <c r="M22" s="4">
        <f>LN(raw!M22)</f>
        <v>8.5658974960789447</v>
      </c>
      <c r="N22" s="4">
        <f>LN(raw!N22)</f>
        <v>8.6052842277423434</v>
      </c>
      <c r="O22" s="4">
        <f>LN(raw!O22)</f>
        <v>8.6538619881464207</v>
      </c>
      <c r="P22" s="4">
        <f>LN(raw!P22)</f>
        <v>8.7127343060842151</v>
      </c>
      <c r="Q22" s="4">
        <f>LN(raw!Q22)</f>
        <v>8.7777321031109885</v>
      </c>
      <c r="R22" s="4">
        <f>LN(raw!R22)</f>
        <v>8.8451472351080298</v>
      </c>
      <c r="S22" s="4">
        <f>LN(raw!S22)</f>
        <v>8.8992677868629944</v>
      </c>
      <c r="T22" s="4">
        <f>LN(raw!T22)</f>
        <v>8.9508361807391097</v>
      </c>
      <c r="U22" s="4">
        <f>LN(raw!U22)</f>
        <v>8.9784198064153102</v>
      </c>
    </row>
    <row r="23" spans="1:21">
      <c r="A23" s="4" t="str">
        <f>raw!A23</f>
        <v>India</v>
      </c>
      <c r="B23" s="4" t="str">
        <f>raw!B23</f>
        <v xml:space="preserve"> 🇮🇳</v>
      </c>
      <c r="C23" s="4" t="str">
        <f>raw!C23</f>
        <v>International tourism, number of arrivals</v>
      </c>
      <c r="D23" s="4">
        <f>LN(raw!D23)</f>
        <v>14.684290307167377</v>
      </c>
      <c r="E23" s="4">
        <f>LN(raw!E23)</f>
        <v>14.818345891238614</v>
      </c>
      <c r="F23" s="4">
        <f>LN(raw!F23)</f>
        <v>15.055911718903761</v>
      </c>
      <c r="G23" s="4">
        <f>LN(raw!G23)</f>
        <v>15.181347077181769</v>
      </c>
      <c r="H23" s="4">
        <f>LN(raw!H23)</f>
        <v>15.307740269492834</v>
      </c>
      <c r="I23" s="4">
        <f>LN(raw!I23)</f>
        <v>15.441215442862246</v>
      </c>
      <c r="J23" s="4">
        <f>LN(raw!J23)</f>
        <v>15.480004676146454</v>
      </c>
      <c r="K23" s="4">
        <f>LN(raw!K23)</f>
        <v>15.457996324444574</v>
      </c>
      <c r="L23" s="4">
        <f>LN(raw!L23)</f>
        <v>15.569221959554799</v>
      </c>
      <c r="M23" s="4">
        <f>LN(raw!M23)</f>
        <v>15.657487743352947</v>
      </c>
      <c r="N23" s="4">
        <f>LN(raw!N23)</f>
        <v>15.699241305731139</v>
      </c>
      <c r="O23" s="4">
        <f>LN(raw!O23)</f>
        <v>15.756838797514476</v>
      </c>
      <c r="P23" s="4">
        <f>LN(raw!P23)</f>
        <v>16.388656996601682</v>
      </c>
      <c r="Q23" s="4">
        <f>LN(raw!Q23)</f>
        <v>16.402070861478773</v>
      </c>
      <c r="R23" s="4">
        <f>LN(raw!R23)</f>
        <v>16.494475178171388</v>
      </c>
      <c r="S23" s="4">
        <f>LN(raw!S23)</f>
        <v>16.559120934465035</v>
      </c>
      <c r="T23" s="4">
        <f>LN(raw!T23)</f>
        <v>16.673301730405043</v>
      </c>
      <c r="U23" s="4">
        <f>LN(raw!U23)</f>
        <v>16.701093088017277</v>
      </c>
    </row>
    <row r="24" spans="1:21">
      <c r="A24" s="4" t="str">
        <f>raw!A24</f>
        <v>India</v>
      </c>
      <c r="B24" s="4" t="str">
        <f>raw!B24</f>
        <v xml:space="preserve"> 🇮🇳</v>
      </c>
      <c r="C24" s="4" t="str">
        <f>raw!C24</f>
        <v>Political Stability and Absence of Violence/Terrorism: Estimate</v>
      </c>
      <c r="D24" s="4">
        <f>raw!D24</f>
        <v>-1.21066498756409</v>
      </c>
      <c r="E24" s="4">
        <f>raw!E24</f>
        <v>-1.5099970102310201</v>
      </c>
      <c r="F24" s="4">
        <f>raw!F24</f>
        <v>-1.2804329395294201</v>
      </c>
      <c r="G24" s="4">
        <f>raw!G24</f>
        <v>-1.0138804912567101</v>
      </c>
      <c r="H24" s="4">
        <f>raw!H24</f>
        <v>-1.0651842355728101</v>
      </c>
      <c r="I24" s="4">
        <f>raw!I24</f>
        <v>-1.15429580211639</v>
      </c>
      <c r="J24" s="4">
        <f>raw!J24</f>
        <v>-1.10970735549927</v>
      </c>
      <c r="K24" s="4">
        <f>raw!K24</f>
        <v>-1.3555479049682599</v>
      </c>
      <c r="L24" s="4">
        <f>raw!L24</f>
        <v>-1.2779844999313399</v>
      </c>
      <c r="M24" s="4">
        <f>raw!M24</f>
        <v>-1.3267953395843499</v>
      </c>
      <c r="N24" s="4">
        <f>raw!N24</f>
        <v>-1.2893098592758201</v>
      </c>
      <c r="O24" s="4">
        <f>raw!O24</f>
        <v>-1.2291741371154801</v>
      </c>
      <c r="P24" s="4">
        <f>raw!P24</f>
        <v>-0.99791198968887296</v>
      </c>
      <c r="Q24" s="4">
        <f>raw!Q24</f>
        <v>-0.95477354526519798</v>
      </c>
      <c r="R24" s="4">
        <f>raw!R24</f>
        <v>-0.96042650938034102</v>
      </c>
      <c r="S24" s="4">
        <f>raw!S24</f>
        <v>-0.77409911155700695</v>
      </c>
      <c r="T24" s="4">
        <f>raw!T24</f>
        <v>-0.99770677089691195</v>
      </c>
      <c r="U24" s="4">
        <f>raw!U24</f>
        <v>-0.79684698581695601</v>
      </c>
    </row>
    <row r="25" spans="1:21">
      <c r="A25" s="4" t="str">
        <f>raw!A25</f>
        <v>India</v>
      </c>
      <c r="B25" s="4" t="str">
        <f>raw!B25</f>
        <v xml:space="preserve"> 🇮🇳</v>
      </c>
      <c r="C25" s="4" t="str">
        <f>raw!C25</f>
        <v>Official exchange rate (LCU per US$, period average)</v>
      </c>
      <c r="D25" s="4">
        <f>LN(raw!D25)</f>
        <v>3.8838358369001722</v>
      </c>
      <c r="E25" s="4">
        <f>LN(raw!E25)</f>
        <v>3.841241767910371</v>
      </c>
      <c r="F25" s="4">
        <f>LN(raw!F25)</f>
        <v>3.8136704690133549</v>
      </c>
      <c r="G25" s="4">
        <f>LN(raw!G25)</f>
        <v>3.7864592155592156</v>
      </c>
      <c r="H25" s="4">
        <f>LN(raw!H25)</f>
        <v>3.8134617298678379</v>
      </c>
      <c r="I25" s="4">
        <f>LN(raw!I25)</f>
        <v>3.7220369512719174</v>
      </c>
      <c r="J25" s="4">
        <f>LN(raw!J25)</f>
        <v>3.7728800880841185</v>
      </c>
      <c r="K25" s="4">
        <f>LN(raw!K25)</f>
        <v>3.8796086232296125</v>
      </c>
      <c r="L25" s="4">
        <f>LN(raw!L25)</f>
        <v>3.822662955107988</v>
      </c>
      <c r="M25" s="4">
        <f>LN(raw!M25)</f>
        <v>3.8431115591974976</v>
      </c>
      <c r="N25" s="4">
        <f>LN(raw!N25)</f>
        <v>3.9785077564311155</v>
      </c>
      <c r="O25" s="4">
        <f>LN(raw!O25)</f>
        <v>4.0706979282733471</v>
      </c>
      <c r="P25" s="4">
        <f>LN(raw!P25)</f>
        <v>4.1113575907781446</v>
      </c>
      <c r="Q25" s="4">
        <f>LN(raw!Q25)</f>
        <v>4.1612544017991304</v>
      </c>
      <c r="R25" s="4">
        <f>LN(raw!R25)</f>
        <v>4.2076034952064285</v>
      </c>
      <c r="S25" s="4">
        <f>LN(raw!S25)</f>
        <v>4.1762558099340428</v>
      </c>
      <c r="T25" s="4">
        <f>LN(raw!T25)</f>
        <v>4.2252188229103549</v>
      </c>
      <c r="U25" s="4">
        <f>LN(raw!U25)</f>
        <v>4.2544821494998653</v>
      </c>
    </row>
    <row r="26" spans="1:21">
      <c r="A26" s="4" t="s">
        <v>32</v>
      </c>
      <c r="B26" s="4" t="str">
        <f>raw!B26</f>
        <v xml:space="preserve"> 🇮🇳</v>
      </c>
      <c r="C26" s="4" t="str">
        <f>raw!C26</f>
        <v>Rule of Law: Estimate</v>
      </c>
      <c r="D26" s="4">
        <f>raw!D26</f>
        <v>-1.7395870760083199E-2</v>
      </c>
      <c r="E26" s="4">
        <f>raw!E26</f>
        <v>0.120161645114422</v>
      </c>
      <c r="F26" s="4">
        <f>raw!F26</f>
        <v>5.33560588955879E-2</v>
      </c>
      <c r="G26" s="4">
        <f>raw!G26</f>
        <v>0.13313016295433</v>
      </c>
      <c r="H26" s="4">
        <f>raw!H26</f>
        <v>0.17898961901664701</v>
      </c>
      <c r="I26" s="4">
        <f>raw!I26</f>
        <v>9.6898160874843597E-2</v>
      </c>
      <c r="J26" s="4">
        <f>raw!J26</f>
        <v>9.5850460231304196E-2</v>
      </c>
      <c r="K26" s="4">
        <f>raw!K26</f>
        <v>1.79808251559734E-2</v>
      </c>
      <c r="L26" s="4">
        <f>raw!L26</f>
        <v>-3.5810820758342701E-2</v>
      </c>
      <c r="M26" s="4">
        <f>raw!M26</f>
        <v>-8.6297139525413499E-2</v>
      </c>
      <c r="N26" s="4">
        <f>raw!N26</f>
        <v>-6.2880747020244598E-2</v>
      </c>
      <c r="O26" s="4">
        <f>raw!O26</f>
        <v>-4.5892599970102303E-2</v>
      </c>
      <c r="P26" s="4">
        <f>raw!P26</f>
        <v>-6.9189384579658494E-2</v>
      </c>
      <c r="Q26" s="4">
        <f>raw!Q26</f>
        <v>-7.0721104741096497E-2</v>
      </c>
      <c r="R26" s="4">
        <f>raw!R26</f>
        <v>-5.6153856217861203E-2</v>
      </c>
      <c r="S26" s="4">
        <f>raw!S26</f>
        <v>-2.9750088229775401E-2</v>
      </c>
      <c r="T26" s="4">
        <f>raw!T26</f>
        <v>-1.42208894249052E-3</v>
      </c>
      <c r="U26" s="4">
        <f>raw!U26</f>
        <v>-6.7227154970169095E-2</v>
      </c>
    </row>
    <row r="27" spans="1:21">
      <c r="A27" s="4" t="str">
        <f>raw!A27</f>
        <v>Iran</v>
      </c>
      <c r="B27" s="4" t="str">
        <f>raw!B27</f>
        <v xml:space="preserve"> 🇮🇷</v>
      </c>
      <c r="C27" s="4" t="str">
        <f>raw!C27</f>
        <v>GDP per capita, PPP (constant 2021 international $)</v>
      </c>
      <c r="D27" s="4">
        <f>LN(raw!D27)</f>
        <v>9.3749132674888429</v>
      </c>
      <c r="E27" s="4">
        <f>LN(raw!E27)</f>
        <v>9.4466923989454994</v>
      </c>
      <c r="F27" s="4">
        <f>LN(raw!F27)</f>
        <v>9.4677528510824036</v>
      </c>
      <c r="G27" s="4">
        <f>LN(raw!G27)</f>
        <v>9.4770222205083385</v>
      </c>
      <c r="H27" s="4">
        <f>LN(raw!H27)</f>
        <v>9.5042660255728038</v>
      </c>
      <c r="I27" s="4">
        <f>LN(raw!I27)</f>
        <v>9.5663174883837456</v>
      </c>
      <c r="J27" s="4">
        <f>LN(raw!J27)</f>
        <v>9.5566781442582105</v>
      </c>
      <c r="K27" s="4">
        <f>LN(raw!K27)</f>
        <v>9.5542830852259684</v>
      </c>
      <c r="L27" s="4">
        <f>LN(raw!L27)</f>
        <v>9.598127192450189</v>
      </c>
      <c r="M27" s="4">
        <f>LN(raw!M27)</f>
        <v>9.6118817582620739</v>
      </c>
      <c r="N27" s="4">
        <f>LN(raw!N27)</f>
        <v>9.5611768587384969</v>
      </c>
      <c r="O27" s="4">
        <f>LN(raw!O27)</f>
        <v>9.532771006319912</v>
      </c>
      <c r="P27" s="4">
        <f>LN(raw!P27)</f>
        <v>9.5679848698542109</v>
      </c>
      <c r="Q27" s="4">
        <f>LN(raw!Q27)</f>
        <v>9.5400175829874811</v>
      </c>
      <c r="R27" s="4">
        <f>LN(raw!R27)</f>
        <v>9.6101625299422881</v>
      </c>
      <c r="S27" s="4">
        <f>LN(raw!S27)</f>
        <v>9.6229869258096734</v>
      </c>
      <c r="T27" s="4">
        <f>LN(raw!T27)</f>
        <v>9.5916833721017269</v>
      </c>
      <c r="U27" s="4">
        <f>LN(raw!U27)</f>
        <v>9.5497130164313226</v>
      </c>
    </row>
    <row r="28" spans="1:21">
      <c r="A28" s="4" t="str">
        <f>raw!A28</f>
        <v>Iran</v>
      </c>
      <c r="B28" s="4" t="str">
        <f>raw!B28</f>
        <v xml:space="preserve"> 🇮🇷</v>
      </c>
      <c r="C28" s="4" t="str">
        <f>raw!C28</f>
        <v>International tourism, number of arrivals</v>
      </c>
      <c r="D28" s="4">
        <f>LN(raw!D28)</f>
        <v>14.276094965293519</v>
      </c>
      <c r="E28" s="4">
        <f>LN(raw!E28)</f>
        <v>14.251181508129504</v>
      </c>
      <c r="F28" s="4">
        <f>LN(raw!F28)</f>
        <v>14.321725569172582</v>
      </c>
      <c r="G28" s="4">
        <f>LN(raw!G28)</f>
        <v>14.451558146483647</v>
      </c>
      <c r="H28" s="4">
        <f>LN(raw!H28)</f>
        <v>14.821641993838218</v>
      </c>
      <c r="I28" s="4">
        <f>LN(raw!I28)</f>
        <v>14.612567201914731</v>
      </c>
      <c r="J28" s="4">
        <f>LN(raw!J28)</f>
        <v>14.525514855590643</v>
      </c>
      <c r="K28" s="4">
        <f>LN(raw!K28)</f>
        <v>14.565038071960327</v>
      </c>
      <c r="L28" s="4">
        <f>LN(raw!L28)</f>
        <v>14.893239635715959</v>
      </c>
      <c r="M28" s="4">
        <f>LN(raw!M28)</f>
        <v>15.025664221365291</v>
      </c>
      <c r="N28" s="4">
        <f>LN(raw!N28)</f>
        <v>15.159419202587728</v>
      </c>
      <c r="O28" s="4">
        <f>LN(raw!O28)</f>
        <v>15.377647197280361</v>
      </c>
      <c r="P28" s="4">
        <f>LN(raw!P28)</f>
        <v>15.418527902595452</v>
      </c>
      <c r="Q28" s="4">
        <f>LN(raw!Q28)</f>
        <v>15.471259373261624</v>
      </c>
      <c r="R28" s="4">
        <f>LN(raw!R28)</f>
        <v>15.413280665530692</v>
      </c>
      <c r="S28" s="4">
        <f>LN(raw!S28)</f>
        <v>15.397988288815592</v>
      </c>
      <c r="T28" s="4">
        <f>LN(raw!T28)</f>
        <v>15.802699739939023</v>
      </c>
      <c r="U28" s="4">
        <f>LN(raw!U28)</f>
        <v>16.024553906549954</v>
      </c>
    </row>
    <row r="29" spans="1:21">
      <c r="A29" s="4" t="str">
        <f>raw!A29</f>
        <v>Iran</v>
      </c>
      <c r="B29" s="4" t="str">
        <f>raw!B29</f>
        <v xml:space="preserve"> 🇮🇷</v>
      </c>
      <c r="C29" s="4" t="str">
        <f>raw!C29</f>
        <v>Political Stability and Absence of Violence/Terrorism: Estimate</v>
      </c>
      <c r="D29" s="4">
        <f>raw!D29</f>
        <v>-0.77344059944152799</v>
      </c>
      <c r="E29" s="4">
        <f>raw!E29</f>
        <v>-0.77973318099975597</v>
      </c>
      <c r="F29" s="4">
        <f>raw!F29</f>
        <v>-0.76182430982589699</v>
      </c>
      <c r="G29" s="4">
        <f>raw!G29</f>
        <v>-0.78273886442184404</v>
      </c>
      <c r="H29" s="4">
        <f>raw!H29</f>
        <v>-1.0408400297164899</v>
      </c>
      <c r="I29" s="4">
        <f>raw!I29</f>
        <v>-0.93164044618606601</v>
      </c>
      <c r="J29" s="4">
        <f>raw!J29</f>
        <v>-0.939874708652496</v>
      </c>
      <c r="K29" s="4">
        <f>raw!K29</f>
        <v>-1.56424200534821</v>
      </c>
      <c r="L29" s="4">
        <f>raw!L29</f>
        <v>-1.63059186935425</v>
      </c>
      <c r="M29" s="4">
        <f>raw!M29</f>
        <v>-1.4217677116394001</v>
      </c>
      <c r="N29" s="4">
        <f>raw!N29</f>
        <v>-1.3239260911941499</v>
      </c>
      <c r="O29" s="4">
        <f>raw!O29</f>
        <v>-1.2496865987777701</v>
      </c>
      <c r="P29" s="4">
        <f>raw!P29</f>
        <v>-0.87498766183853105</v>
      </c>
      <c r="Q29" s="4">
        <f>raw!Q29</f>
        <v>-0.92484688758850098</v>
      </c>
      <c r="R29" s="4">
        <f>raw!R29</f>
        <v>-0.81402063369750999</v>
      </c>
      <c r="S29" s="4">
        <f>raw!S29</f>
        <v>-0.93382889032363903</v>
      </c>
      <c r="T29" s="4">
        <f>raw!T29</f>
        <v>-1.34218072891235</v>
      </c>
      <c r="U29" s="4">
        <f>raw!U29</f>
        <v>-1.7115340232849101</v>
      </c>
    </row>
    <row r="30" spans="1:21">
      <c r="A30" s="4" t="str">
        <f>raw!A30</f>
        <v>Iran</v>
      </c>
      <c r="B30" s="4" t="str">
        <f>raw!B30</f>
        <v xml:space="preserve"> 🇮🇷</v>
      </c>
      <c r="C30" s="4" t="str">
        <f>raw!C30</f>
        <v>Official exchange rate (LCU per US$, period average)</v>
      </c>
      <c r="D30" s="4">
        <f>LN(raw!D30)</f>
        <v>8.84029565758334</v>
      </c>
      <c r="E30" s="4">
        <f>LN(raw!E30)</f>
        <v>9.0111437307934938</v>
      </c>
      <c r="F30" s="4">
        <f>LN(raw!F30)</f>
        <v>9.0611428374672602</v>
      </c>
      <c r="G30" s="4">
        <f>LN(raw!G30)</f>
        <v>9.1009672506473329</v>
      </c>
      <c r="H30" s="4">
        <f>LN(raw!H30)</f>
        <v>9.1237953819385211</v>
      </c>
      <c r="I30" s="4">
        <f>LN(raw!I30)</f>
        <v>9.1357409375105387</v>
      </c>
      <c r="J30" s="4">
        <f>LN(raw!J30)</f>
        <v>9.1514952935463025</v>
      </c>
      <c r="K30" s="4">
        <f>LN(raw!K30)</f>
        <v>9.1966777070127979</v>
      </c>
      <c r="L30" s="4">
        <f>LN(raw!L30)</f>
        <v>9.2354403620930601</v>
      </c>
      <c r="M30" s="4">
        <f>LN(raw!M30)</f>
        <v>9.2701464606653001</v>
      </c>
      <c r="N30" s="4">
        <f>LN(raw!N30)</f>
        <v>9.4071848933244855</v>
      </c>
      <c r="O30" s="4">
        <f>LN(raw!O30)</f>
        <v>9.8208908534115729</v>
      </c>
      <c r="P30" s="4">
        <f>LN(raw!P30)</f>
        <v>10.1636056094209</v>
      </c>
      <c r="Q30" s="4">
        <f>LN(raw!Q30)</f>
        <v>10.275447284861711</v>
      </c>
      <c r="R30" s="4">
        <f>LN(raw!R30)</f>
        <v>10.338992008773989</v>
      </c>
      <c r="S30" s="4">
        <f>LN(raw!S30)</f>
        <v>10.411096954373107</v>
      </c>
      <c r="T30" s="4">
        <f>LN(raw!T30)</f>
        <v>10.618012810135431</v>
      </c>
      <c r="U30" s="4">
        <f>LN(raw!U30)</f>
        <v>10.645424897265505</v>
      </c>
    </row>
    <row r="31" spans="1:21">
      <c r="A31" s="4" t="str">
        <f>raw!A31</f>
        <v>Iran</v>
      </c>
      <c r="B31" s="4" t="str">
        <f>raw!B31</f>
        <v xml:space="preserve"> 🇮🇷</v>
      </c>
      <c r="C31" s="4" t="str">
        <f>raw!C31</f>
        <v>Rule of Law: Estimate</v>
      </c>
      <c r="D31" s="4">
        <f>raw!D31</f>
        <v>-0.82177770137786899</v>
      </c>
      <c r="E31" s="4">
        <f>raw!E31</f>
        <v>-0.68051576614379905</v>
      </c>
      <c r="F31" s="4">
        <f>raw!F31</f>
        <v>-0.67358148097991899</v>
      </c>
      <c r="G31" s="4">
        <f>raw!G31</f>
        <v>-0.86580431461334195</v>
      </c>
      <c r="H31" s="4">
        <f>raw!H31</f>
        <v>-0.99435615539550803</v>
      </c>
      <c r="I31" s="4">
        <f>raw!I31</f>
        <v>-1.0274518728256199</v>
      </c>
      <c r="J31" s="4">
        <f>raw!J31</f>
        <v>-0.97846394777297996</v>
      </c>
      <c r="K31" s="4">
        <f>raw!K31</f>
        <v>-1.05367839336395</v>
      </c>
      <c r="L31" s="4">
        <f>raw!L31</f>
        <v>-1.0266642570495601</v>
      </c>
      <c r="M31" s="4">
        <f>raw!M31</f>
        <v>-0.96778708696365401</v>
      </c>
      <c r="N31" s="4">
        <f>raw!N31</f>
        <v>-0.91865378618240401</v>
      </c>
      <c r="O31" s="4">
        <f>raw!O31</f>
        <v>-0.99706715345382702</v>
      </c>
      <c r="P31" s="4">
        <f>raw!P31</f>
        <v>-1.05286180973053</v>
      </c>
      <c r="Q31" s="4">
        <f>raw!Q31</f>
        <v>-0.94035494327545199</v>
      </c>
      <c r="R31" s="4">
        <f>raw!R31</f>
        <v>-0.69597756862640403</v>
      </c>
      <c r="S31" s="4">
        <f>raw!S31</f>
        <v>-0.70252662897109996</v>
      </c>
      <c r="T31" s="4">
        <f>raw!T31</f>
        <v>-0.71285921335220304</v>
      </c>
      <c r="U31" s="4">
        <f>raw!U31</f>
        <v>-0.771478950977325</v>
      </c>
    </row>
    <row r="32" spans="1:21">
      <c r="A32" s="4" t="str">
        <f>raw!A32</f>
        <v>Italy</v>
      </c>
      <c r="B32" s="4" t="str">
        <f>raw!B32</f>
        <v xml:space="preserve"> 🇮🇹</v>
      </c>
      <c r="C32" s="4" t="str">
        <f>raw!C32</f>
        <v>GDP per capita, PPP (constant 2021 international $)</v>
      </c>
      <c r="D32" s="4">
        <f>LN(raw!D32)</f>
        <v>10.847332337808343</v>
      </c>
      <c r="E32" s="4">
        <f>LN(raw!E32)</f>
        <v>10.843552581843735</v>
      </c>
      <c r="F32" s="4">
        <f>LN(raw!F32)</f>
        <v>10.85171339041031</v>
      </c>
      <c r="G32" s="4">
        <f>LN(raw!G32)</f>
        <v>10.854394689908744</v>
      </c>
      <c r="H32" s="4">
        <f>LN(raw!H32)</f>
        <v>10.869223902152678</v>
      </c>
      <c r="I32" s="4">
        <f>LN(raw!I32)</f>
        <v>10.878691601602799</v>
      </c>
      <c r="J32" s="4">
        <f>LN(raw!J32)</f>
        <v>10.861782823913963</v>
      </c>
      <c r="K32" s="4">
        <f>LN(raw!K32)</f>
        <v>10.802716077299319</v>
      </c>
      <c r="L32" s="4">
        <f>LN(raw!L32)</f>
        <v>10.814815492692404</v>
      </c>
      <c r="M32" s="4">
        <f>LN(raw!M32)</f>
        <v>10.820026269169359</v>
      </c>
      <c r="N32" s="4">
        <f>LN(raw!N32)</f>
        <v>10.785579693471362</v>
      </c>
      <c r="O32" s="4">
        <f>LN(raw!O32)</f>
        <v>10.755639640234287</v>
      </c>
      <c r="P32" s="4">
        <f>LN(raw!P32)</f>
        <v>10.746450722780734</v>
      </c>
      <c r="Q32" s="4">
        <f>LN(raw!Q32)</f>
        <v>10.756232170181605</v>
      </c>
      <c r="R32" s="4">
        <f>LN(raw!R32)</f>
        <v>10.770217433823005</v>
      </c>
      <c r="S32" s="4">
        <f>LN(raw!S32)</f>
        <v>10.787625810282059</v>
      </c>
      <c r="T32" s="4">
        <f>LN(raw!T32)</f>
        <v>10.797758933553883</v>
      </c>
      <c r="U32" s="4">
        <f>LN(raw!U32)</f>
        <v>10.813571660375825</v>
      </c>
    </row>
    <row r="33" spans="1:21">
      <c r="A33" s="4" t="str">
        <f>raw!A33</f>
        <v>Italy</v>
      </c>
      <c r="B33" s="4" t="str">
        <f>raw!B33</f>
        <v xml:space="preserve"> 🇮🇹</v>
      </c>
      <c r="C33" s="4" t="str">
        <f>raw!C33</f>
        <v>International tourism, number of arrivals</v>
      </c>
      <c r="D33" s="4">
        <f>LN(raw!D33)</f>
        <v>17.967510632674536</v>
      </c>
      <c r="E33" s="4">
        <f>LN(raw!E33)</f>
        <v>17.95905789763194</v>
      </c>
      <c r="F33" s="4">
        <f>LN(raw!F33)</f>
        <v>17.884195373405799</v>
      </c>
      <c r="G33" s="4">
        <f>LN(raw!G33)</f>
        <v>17.896938728253147</v>
      </c>
      <c r="H33" s="4">
        <f>LN(raw!H33)</f>
        <v>18.010499532490492</v>
      </c>
      <c r="I33" s="4">
        <f>LN(raw!I33)</f>
        <v>18.067869753891088</v>
      </c>
      <c r="J33" s="4">
        <f>LN(raw!J33)</f>
        <v>18.074224835922195</v>
      </c>
      <c r="K33" s="4">
        <f>LN(raw!K33)</f>
        <v>18.087889723333625</v>
      </c>
      <c r="L33" s="4">
        <f>LN(raw!L33)</f>
        <v>18.109047450678073</v>
      </c>
      <c r="M33" s="4">
        <f>LN(raw!M33)</f>
        <v>18.144479184163512</v>
      </c>
      <c r="N33" s="4">
        <f>LN(raw!N33)</f>
        <v>18.150091748926762</v>
      </c>
      <c r="O33" s="4">
        <f>LN(raw!O33)</f>
        <v>18.156220284001446</v>
      </c>
      <c r="P33" s="4">
        <f>LN(raw!P33)</f>
        <v>18.168288592279033</v>
      </c>
      <c r="Q33" s="4">
        <f>LN(raw!Q33)</f>
        <v>18.210798866621342</v>
      </c>
      <c r="R33" s="4">
        <f>LN(raw!R33)</f>
        <v>18.25727907201092</v>
      </c>
      <c r="S33" s="4">
        <f>LN(raw!S33)</f>
        <v>18.314553267588689</v>
      </c>
      <c r="T33" s="4">
        <f>LN(raw!T33)</f>
        <v>18.350565116294455</v>
      </c>
      <c r="U33" s="4">
        <f>LN(raw!U33)</f>
        <v>18.373578654183284</v>
      </c>
    </row>
    <row r="34" spans="1:21">
      <c r="A34" s="4" t="str">
        <f>raw!A34</f>
        <v>Italy</v>
      </c>
      <c r="B34" s="4" t="str">
        <f>raw!B34</f>
        <v xml:space="preserve"> 🇮🇹</v>
      </c>
      <c r="C34" s="4" t="str">
        <f>raw!C34</f>
        <v>Political Stability and Absence of Violence/Terrorism: Estimate</v>
      </c>
      <c r="D34" s="4">
        <f>raw!D34</f>
        <v>0.83842980861663796</v>
      </c>
      <c r="E34" s="4">
        <f>raw!E34</f>
        <v>0.43148833513259899</v>
      </c>
      <c r="F34" s="4">
        <f>raw!F34</f>
        <v>0.26925769448280301</v>
      </c>
      <c r="G34" s="4">
        <f>raw!G34</f>
        <v>0.48911553621292098</v>
      </c>
      <c r="H34" s="4">
        <f>raw!H34</f>
        <v>0.53073376417160001</v>
      </c>
      <c r="I34" s="4">
        <f>raw!I34</f>
        <v>0.446970045566559</v>
      </c>
      <c r="J34" s="4">
        <f>raw!J34</f>
        <v>0.54754424095153797</v>
      </c>
      <c r="K34" s="4">
        <f>raw!K34</f>
        <v>0.346905887126923</v>
      </c>
      <c r="L34" s="4">
        <f>raw!L34</f>
        <v>0.47392368316650402</v>
      </c>
      <c r="M34" s="4">
        <f>raw!M34</f>
        <v>0.50120741128921498</v>
      </c>
      <c r="N34" s="4">
        <f>raw!N34</f>
        <v>0.508217513561249</v>
      </c>
      <c r="O34" s="4">
        <f>raw!O34</f>
        <v>0.49549919366836498</v>
      </c>
      <c r="P34" s="4">
        <f>raw!P34</f>
        <v>0.45816540718078602</v>
      </c>
      <c r="Q34" s="4">
        <f>raw!Q34</f>
        <v>0.36325719952583302</v>
      </c>
      <c r="R34" s="4">
        <f>raw!R34</f>
        <v>0.355933427810669</v>
      </c>
      <c r="S34" s="4">
        <f>raw!S34</f>
        <v>0.292910486459732</v>
      </c>
      <c r="T34" s="4">
        <f>raw!T34</f>
        <v>0.326271682977676</v>
      </c>
      <c r="U34" s="4">
        <f>raw!U34</f>
        <v>0.38111427426338201</v>
      </c>
    </row>
    <row r="35" spans="1:21">
      <c r="A35" s="4" t="str">
        <f>raw!A35</f>
        <v>Italy</v>
      </c>
      <c r="B35" s="4" t="str">
        <f>raw!B35</f>
        <v xml:space="preserve"> 🇮🇹</v>
      </c>
      <c r="C35" s="4" t="str">
        <f>raw!C35</f>
        <v>Official exchange rate (LCU per US$, period average)</v>
      </c>
      <c r="D35" s="4">
        <f>LN(raw!D35)</f>
        <v>5.5963418788469235E-2</v>
      </c>
      <c r="E35" s="4">
        <f>LN(raw!E35)</f>
        <v>-0.12324400154159738</v>
      </c>
      <c r="F35" s="4">
        <f>LN(raw!F35)</f>
        <v>-0.21825346760225409</v>
      </c>
      <c r="G35" s="4">
        <f>LN(raw!G35)</f>
        <v>-0.21840455790082697</v>
      </c>
      <c r="H35" s="4">
        <f>LN(raw!H35)</f>
        <v>-0.22761260900640787</v>
      </c>
      <c r="I35" s="4">
        <f>LN(raw!I35)</f>
        <v>-0.31515961271090354</v>
      </c>
      <c r="J35" s="4">
        <f>LN(raw!J35)</f>
        <v>-0.38577619309649758</v>
      </c>
      <c r="K35" s="4">
        <f>LN(raw!K35)</f>
        <v>-0.3327384331266669</v>
      </c>
      <c r="L35" s="4">
        <f>LN(raw!L35)</f>
        <v>-0.28195319371822042</v>
      </c>
      <c r="M35" s="4">
        <f>LN(raw!M35)</f>
        <v>-0.33070941550351202</v>
      </c>
      <c r="N35" s="4">
        <f>LN(raw!N35)</f>
        <v>-0.25059424713771056</v>
      </c>
      <c r="O35" s="4">
        <f>LN(raw!O35)</f>
        <v>-0.28376293205579062</v>
      </c>
      <c r="P35" s="4">
        <f>LN(raw!P35)</f>
        <v>-0.28405107659294238</v>
      </c>
      <c r="Q35" s="4">
        <f>LN(raw!Q35)</f>
        <v>-0.10392108173221118</v>
      </c>
      <c r="R35" s="4">
        <f>LN(raw!R35)</f>
        <v>-0.10156612762023107</v>
      </c>
      <c r="S35" s="4">
        <f>LN(raw!S35)</f>
        <v>-0.12193544819765753</v>
      </c>
      <c r="T35" s="4">
        <f>LN(raw!T35)</f>
        <v>-0.16632301810241665</v>
      </c>
      <c r="U35" s="4">
        <f>LN(raw!U35)</f>
        <v>-0.11285938752893578</v>
      </c>
    </row>
    <row r="36" spans="1:21">
      <c r="A36" s="4" t="str">
        <f>raw!A36</f>
        <v>Italy</v>
      </c>
      <c r="B36" s="4" t="str">
        <f>raw!B36</f>
        <v xml:space="preserve"> 🇮🇹</v>
      </c>
      <c r="C36" s="4" t="str">
        <f>raw!C36</f>
        <v>Rule of Law: Estimate</v>
      </c>
      <c r="D36" s="4">
        <f>raw!D36</f>
        <v>0.74014198780059803</v>
      </c>
      <c r="E36" s="4">
        <f>raw!E36</f>
        <v>0.68842989206314098</v>
      </c>
      <c r="F36" s="4">
        <f>raw!F36</f>
        <v>0.59000390768051103</v>
      </c>
      <c r="G36" s="4">
        <f>raw!G36</f>
        <v>0.50924301147460904</v>
      </c>
      <c r="H36" s="4">
        <f>raw!H36</f>
        <v>0.37900638580322299</v>
      </c>
      <c r="I36" s="4">
        <f>raw!I36</f>
        <v>0.46754819154739402</v>
      </c>
      <c r="J36" s="4">
        <f>raw!J36</f>
        <v>0.44792145490646401</v>
      </c>
      <c r="K36" s="4">
        <f>raw!K36</f>
        <v>0.39914548397064198</v>
      </c>
      <c r="L36" s="4">
        <f>raw!L36</f>
        <v>0.45477318763732899</v>
      </c>
      <c r="M36" s="4">
        <f>raw!M36</f>
        <v>0.483442842960358</v>
      </c>
      <c r="N36" s="4">
        <f>raw!N36</f>
        <v>0.42594015598297102</v>
      </c>
      <c r="O36" s="4">
        <f>raw!O36</f>
        <v>0.43625941872596702</v>
      </c>
      <c r="P36" s="4">
        <f>raw!P36</f>
        <v>0.42214724421501199</v>
      </c>
      <c r="Q36" s="4">
        <f>raw!Q36</f>
        <v>0.28835383057594299</v>
      </c>
      <c r="R36" s="4">
        <f>raw!R36</f>
        <v>0.36641502380371099</v>
      </c>
      <c r="S36" s="4">
        <f>raw!S36</f>
        <v>0.31913381814956698</v>
      </c>
      <c r="T36" s="4">
        <f>raw!T36</f>
        <v>0.24062387645244601</v>
      </c>
      <c r="U36" s="4">
        <f>raw!U36</f>
        <v>0.27241715788841198</v>
      </c>
    </row>
    <row r="37" spans="1:21">
      <c r="A37" s="4" t="str">
        <f>raw!A37</f>
        <v>Kazakhstan</v>
      </c>
      <c r="B37" s="4" t="str">
        <f>raw!B37</f>
        <v xml:space="preserve"> 🇰🇿</v>
      </c>
      <c r="C37" s="4" t="str">
        <f>raw!C37</f>
        <v>GDP per capita, PPP (constant 2021 international $)</v>
      </c>
      <c r="D37" s="4">
        <f>LN(raw!D37)</f>
        <v>9.677895621698017</v>
      </c>
      <c r="E37" s="4">
        <f>LN(raw!E37)</f>
        <v>9.7610453000340964</v>
      </c>
      <c r="F37" s="4">
        <f>LN(raw!F37)</f>
        <v>9.846206958981421</v>
      </c>
      <c r="G37" s="4">
        <f>LN(raw!G37)</f>
        <v>9.9313716253896089</v>
      </c>
      <c r="H37" s="4">
        <f>LN(raw!H37)</f>
        <v>10.02456927300079</v>
      </c>
      <c r="I37" s="4">
        <f>LN(raw!I37)</f>
        <v>10.10034242103769</v>
      </c>
      <c r="J37" s="4">
        <f>LN(raw!J37)</f>
        <v>10.12244895357134</v>
      </c>
      <c r="K37" s="4">
        <f>LN(raw!K37)</f>
        <v>10.122677407322895</v>
      </c>
      <c r="L37" s="4">
        <f>LN(raw!L37)</f>
        <v>10.180165833500597</v>
      </c>
      <c r="M37" s="4">
        <f>LN(raw!M37)</f>
        <v>10.238035093235556</v>
      </c>
      <c r="N37" s="4">
        <f>LN(raw!N37)</f>
        <v>10.270947589186733</v>
      </c>
      <c r="O37" s="4">
        <f>LN(raw!O37)</f>
        <v>10.31485151885882</v>
      </c>
      <c r="P37" s="4">
        <f>LN(raw!P37)</f>
        <v>10.341304901190492</v>
      </c>
      <c r="Q37" s="4">
        <f>LN(raw!Q37)</f>
        <v>10.338309484078621</v>
      </c>
      <c r="R37" s="4">
        <f>LN(raw!R37)</f>
        <v>10.333915894371502</v>
      </c>
      <c r="S37" s="4">
        <f>LN(raw!S37)</f>
        <v>10.358518448827871</v>
      </c>
      <c r="T37" s="4">
        <f>LN(raw!T37)</f>
        <v>10.383757906100136</v>
      </c>
      <c r="U37" s="4">
        <f>LN(raw!U37)</f>
        <v>10.413258991930078</v>
      </c>
    </row>
    <row r="38" spans="1:21">
      <c r="A38" s="4" t="str">
        <f>raw!A38</f>
        <v>Kazakhstan</v>
      </c>
      <c r="B38" s="4" t="str">
        <f>raw!B38</f>
        <v xml:space="preserve"> 🇰🇿</v>
      </c>
      <c r="C38" s="4" t="str">
        <f>raw!C38</f>
        <v>International tourism, number of arrivals</v>
      </c>
      <c r="D38" s="4">
        <f>LN(raw!D38)</f>
        <v>15.117879684146404</v>
      </c>
      <c r="E38" s="4">
        <f>LN(raw!E38)</f>
        <v>14.990157532908382</v>
      </c>
      <c r="F38" s="4">
        <f>LN(raw!F38)</f>
        <v>15.272030363973661</v>
      </c>
      <c r="G38" s="4">
        <f>LN(raw!G38)</f>
        <v>15.289128747255839</v>
      </c>
      <c r="H38" s="4">
        <f>LN(raw!H38)</f>
        <v>15.364561320383279</v>
      </c>
      <c r="I38" s="4">
        <f>LN(raw!I38)</f>
        <v>15.485290699404537</v>
      </c>
      <c r="J38" s="4">
        <f>LN(raw!J38)</f>
        <v>15.230635300752041</v>
      </c>
      <c r="K38" s="4">
        <f>LN(raw!K38)</f>
        <v>15.143646004910632</v>
      </c>
      <c r="L38" s="4">
        <f>LN(raw!L38)</f>
        <v>15.225765556529009</v>
      </c>
      <c r="M38" s="4">
        <f>LN(raw!M38)</f>
        <v>15.553341685166773</v>
      </c>
      <c r="N38" s="4">
        <f>LN(raw!N38)</f>
        <v>15.63407422994438</v>
      </c>
      <c r="O38" s="4">
        <f>LN(raw!O38)</f>
        <v>15.738444477743135</v>
      </c>
      <c r="P38" s="4">
        <f>LN(raw!P38)</f>
        <v>15.661284615498568</v>
      </c>
      <c r="Q38" s="4">
        <f>LN(raw!Q38)</f>
        <v>15.676485096213803</v>
      </c>
      <c r="R38" s="4">
        <f>LN(raw!R38)</f>
        <v>15.688696392554524</v>
      </c>
      <c r="S38" s="4">
        <f>LN(raw!S38)</f>
        <v>15.856860748521386</v>
      </c>
      <c r="T38" s="4">
        <f>LN(raw!T38)</f>
        <v>15.989011497546782</v>
      </c>
      <c r="U38" s="4">
        <f>LN(raw!U38)</f>
        <v>15.957339872078926</v>
      </c>
    </row>
    <row r="39" spans="1:21">
      <c r="A39" s="4" t="str">
        <f>raw!A39</f>
        <v>Kazakhstan</v>
      </c>
      <c r="B39" s="4" t="str">
        <f>raw!B39</f>
        <v xml:space="preserve"> 🇰🇿</v>
      </c>
      <c r="C39" s="4" t="str">
        <f>raw!C39</f>
        <v>Political Stability and Absence of Violence/Terrorism: Estimate</v>
      </c>
      <c r="D39" s="4">
        <f>raw!D39</f>
        <v>0.35854917764663702</v>
      </c>
      <c r="E39" s="4">
        <f>raw!E39</f>
        <v>0.35625991225242598</v>
      </c>
      <c r="F39" s="4">
        <f>raw!F39</f>
        <v>7.0387974381446797E-2</v>
      </c>
      <c r="G39" s="4">
        <f>raw!G39</f>
        <v>0.19063183665275599</v>
      </c>
      <c r="H39" s="4">
        <f>raw!H39</f>
        <v>0.207937806844711</v>
      </c>
      <c r="I39" s="4">
        <f>raw!I39</f>
        <v>0.64799678325653098</v>
      </c>
      <c r="J39" s="4">
        <f>raw!J39</f>
        <v>0.62663847208023105</v>
      </c>
      <c r="K39" s="4">
        <f>raw!K39</f>
        <v>0.77681624889373802</v>
      </c>
      <c r="L39" s="4">
        <f>raw!L39</f>
        <v>0.52297180891036998</v>
      </c>
      <c r="M39" s="4">
        <f>raw!M39</f>
        <v>-0.33857056498527499</v>
      </c>
      <c r="N39" s="4">
        <f>raw!N39</f>
        <v>-0.40845501422882102</v>
      </c>
      <c r="O39" s="4">
        <f>raw!O39</f>
        <v>-0.40247389674186701</v>
      </c>
      <c r="P39" s="4">
        <f>raw!P39</f>
        <v>3.6018155515193898E-2</v>
      </c>
      <c r="Q39" s="4">
        <f>raw!Q39</f>
        <v>-3.8353074342012398E-2</v>
      </c>
      <c r="R39" s="4">
        <f>raw!R39</f>
        <v>1.46297342143953E-3</v>
      </c>
      <c r="S39" s="4">
        <f>raw!S39</f>
        <v>2.4349680170416801E-2</v>
      </c>
      <c r="T39" s="4">
        <f>raw!T39</f>
        <v>-5.2402257919311503E-2</v>
      </c>
      <c r="U39" s="4">
        <f>raw!U39</f>
        <v>-0.168037340044975</v>
      </c>
    </row>
    <row r="40" spans="1:21">
      <c r="A40" s="4" t="str">
        <f>raw!A40</f>
        <v>Kazakhstan</v>
      </c>
      <c r="B40" s="4" t="str">
        <f>raw!B40</f>
        <v xml:space="preserve"> 🇰🇿</v>
      </c>
      <c r="C40" s="4" t="str">
        <f>raw!C40</f>
        <v>Official exchange rate (LCU per US$, period average)</v>
      </c>
      <c r="D40" s="4">
        <f>LN(raw!D40)</f>
        <v>5.0322608775341484</v>
      </c>
      <c r="E40" s="4">
        <f>LN(raw!E40)</f>
        <v>5.0078035106015957</v>
      </c>
      <c r="F40" s="4">
        <f>LN(raw!F40)</f>
        <v>4.9129122055676406</v>
      </c>
      <c r="G40" s="4">
        <f>LN(raw!G40)</f>
        <v>4.8894464653050393</v>
      </c>
      <c r="H40" s="4">
        <f>LN(raw!H40)</f>
        <v>4.8369914215004188</v>
      </c>
      <c r="I40" s="4">
        <f>LN(raw!I40)</f>
        <v>4.8085531091241487</v>
      </c>
      <c r="J40" s="4">
        <f>LN(raw!J40)</f>
        <v>4.7899816958300159</v>
      </c>
      <c r="K40" s="4">
        <f>LN(raw!K40)</f>
        <v>4.993805576654462</v>
      </c>
      <c r="L40" s="4">
        <f>LN(raw!L40)</f>
        <v>4.992844641421029</v>
      </c>
      <c r="M40" s="4">
        <f>LN(raw!M40)</f>
        <v>4.9878498894058954</v>
      </c>
      <c r="N40" s="4">
        <f>LN(raw!N40)</f>
        <v>5.0047010546080646</v>
      </c>
      <c r="O40" s="4">
        <f>LN(raw!O40)</f>
        <v>5.0247299406888324</v>
      </c>
      <c r="P40" s="4">
        <f>LN(raw!P40)</f>
        <v>5.188455996483345</v>
      </c>
      <c r="Q40" s="4">
        <f>LN(raw!Q40)</f>
        <v>5.4014529087872747</v>
      </c>
      <c r="R40" s="4">
        <f>LN(raw!R40)</f>
        <v>5.8352784639186535</v>
      </c>
      <c r="S40" s="4">
        <f>LN(raw!S40)</f>
        <v>5.7869005185620104</v>
      </c>
      <c r="T40" s="4">
        <f>LN(raw!T40)</f>
        <v>5.842691396307778</v>
      </c>
      <c r="U40" s="4">
        <f>LN(raw!U40)</f>
        <v>5.9473750080103276</v>
      </c>
    </row>
    <row r="41" spans="1:21">
      <c r="A41" s="4" t="str">
        <f>raw!A41</f>
        <v>Kazakhstan</v>
      </c>
      <c r="B41" s="4" t="str">
        <f>raw!B41</f>
        <v xml:space="preserve"> 🇰🇿</v>
      </c>
      <c r="C41" s="4" t="str">
        <f>raw!C41</f>
        <v>Rule of Law: Estimate</v>
      </c>
      <c r="D41" s="4">
        <f>raw!D41</f>
        <v>-1.20242607593536</v>
      </c>
      <c r="E41" s="4">
        <f>raw!E41</f>
        <v>-1.09689700603485</v>
      </c>
      <c r="F41" s="4">
        <f>raw!F41</f>
        <v>-1.1264673471450799</v>
      </c>
      <c r="G41" s="4">
        <f>raw!G41</f>
        <v>-0.95323616266250599</v>
      </c>
      <c r="H41" s="4">
        <f>raw!H41</f>
        <v>-1.1021193265914899</v>
      </c>
      <c r="I41" s="4">
        <f>raw!I41</f>
        <v>-1.0319029092788701</v>
      </c>
      <c r="J41" s="4">
        <f>raw!J41</f>
        <v>-0.926385998725891</v>
      </c>
      <c r="K41" s="4">
        <f>raw!K41</f>
        <v>-0.72344106435775801</v>
      </c>
      <c r="L41" s="4">
        <f>raw!L41</f>
        <v>-0.69563972949981701</v>
      </c>
      <c r="M41" s="4">
        <f>raw!M41</f>
        <v>-0.64163380861282304</v>
      </c>
      <c r="N41" s="4">
        <f>raw!N41</f>
        <v>-0.77289903163909901</v>
      </c>
      <c r="O41" s="4">
        <f>raw!O41</f>
        <v>-0.71640980243682895</v>
      </c>
      <c r="P41" s="4">
        <f>raw!P41</f>
        <v>-0.60948699712753296</v>
      </c>
      <c r="Q41" s="4">
        <f>raw!Q41</f>
        <v>-0.51527321338653598</v>
      </c>
      <c r="R41" s="4">
        <f>raw!R41</f>
        <v>-0.51314949989318803</v>
      </c>
      <c r="S41" s="4">
        <f>raw!S41</f>
        <v>-0.48727560043335</v>
      </c>
      <c r="T41" s="4">
        <f>raw!T41</f>
        <v>-0.50346642732620195</v>
      </c>
      <c r="U41" s="4">
        <f>raw!U41</f>
        <v>-0.51001703739166304</v>
      </c>
    </row>
    <row r="42" spans="1:21">
      <c r="A42" s="4" t="str">
        <f>raw!A42</f>
        <v>Kyrgyzstan</v>
      </c>
      <c r="B42" s="4" t="str">
        <f>raw!B42</f>
        <v xml:space="preserve"> 🇰🇬</v>
      </c>
      <c r="C42" s="4" t="str">
        <f>raw!C42</f>
        <v>GDP per capita, PPP (constant 2021 international $)</v>
      </c>
      <c r="D42" s="4">
        <f>LN(raw!D42)</f>
        <v>8.2323158220125006</v>
      </c>
      <c r="E42" s="4">
        <f>LN(raw!E42)</f>
        <v>8.2897723104005916</v>
      </c>
      <c r="F42" s="4">
        <f>LN(raw!F42)</f>
        <v>8.345579594186507</v>
      </c>
      <c r="G42" s="4">
        <f>LN(raw!G42)</f>
        <v>8.3325390510395128</v>
      </c>
      <c r="H42" s="4">
        <f>LN(raw!H42)</f>
        <v>8.3523586837355506</v>
      </c>
      <c r="I42" s="4">
        <f>LN(raw!I42)</f>
        <v>8.424795650308365</v>
      </c>
      <c r="J42" s="4">
        <f>LN(raw!J42)</f>
        <v>8.4959578654453392</v>
      </c>
      <c r="K42" s="4">
        <f>LN(raw!K42)</f>
        <v>8.5111673378136672</v>
      </c>
      <c r="L42" s="4">
        <f>LN(raw!L42)</f>
        <v>8.4921788550956272</v>
      </c>
      <c r="M42" s="4">
        <f>LN(raw!M42)</f>
        <v>8.5355932898666484</v>
      </c>
      <c r="N42" s="4">
        <f>LN(raw!N42)</f>
        <v>8.5158711813128907</v>
      </c>
      <c r="O42" s="4">
        <f>LN(raw!O42)</f>
        <v>8.5975817998633897</v>
      </c>
      <c r="P42" s="4">
        <f>LN(raw!P42)</f>
        <v>8.6150011466950822</v>
      </c>
      <c r="Q42" s="4">
        <f>LN(raw!Q42)</f>
        <v>8.6305602327511703</v>
      </c>
      <c r="R42" s="4">
        <f>LN(raw!R42)</f>
        <v>8.6508514790300097</v>
      </c>
      <c r="S42" s="4">
        <f>LN(raw!S42)</f>
        <v>8.6761134726043245</v>
      </c>
      <c r="T42" s="4">
        <f>LN(raw!T42)</f>
        <v>8.6914538848029537</v>
      </c>
      <c r="U42" s="4">
        <f>LN(raw!U42)</f>
        <v>8.7140095127568866</v>
      </c>
    </row>
    <row r="43" spans="1:21">
      <c r="A43" s="4" t="str">
        <f>raw!A43</f>
        <v>Kyrgyzstan</v>
      </c>
      <c r="B43" s="4" t="str">
        <f>raw!B43</f>
        <v xml:space="preserve"> 🇰🇬</v>
      </c>
      <c r="C43" s="4" t="str">
        <f>raw!C43</f>
        <v>International tourism, number of arrivals</v>
      </c>
      <c r="D43" s="4">
        <f>LN(raw!D43)</f>
        <v>12.117241431823558</v>
      </c>
      <c r="E43" s="4">
        <f>LN(raw!E43)</f>
        <v>12.742566016044742</v>
      </c>
      <c r="F43" s="4">
        <f>LN(raw!F43)</f>
        <v>12.894207284266574</v>
      </c>
      <c r="G43" s="4">
        <f>LN(raw!G43)</f>
        <v>12.672946381766982</v>
      </c>
      <c r="H43" s="4">
        <f>LN(raw!H43)</f>
        <v>13.548937448722729</v>
      </c>
      <c r="I43" s="4">
        <f>LN(raw!I43)</f>
        <v>14.319915613927343</v>
      </c>
      <c r="J43" s="4">
        <f>LN(raw!J43)</f>
        <v>14.682190789285094</v>
      </c>
      <c r="K43" s="4">
        <f>LN(raw!K43)</f>
        <v>14.71200666251025</v>
      </c>
      <c r="L43" s="4">
        <f>LN(raw!L43)</f>
        <v>14.017634742054408</v>
      </c>
      <c r="M43" s="4">
        <f>LN(raw!M43)</f>
        <v>14.922421649447079</v>
      </c>
      <c r="N43" s="4">
        <f>LN(raw!N43)</f>
        <v>15.037225043766368</v>
      </c>
      <c r="O43" s="4">
        <f>LN(raw!O43)</f>
        <v>15.23475601922385</v>
      </c>
      <c r="P43" s="4">
        <f>LN(raw!P43)</f>
        <v>15.148140394498473</v>
      </c>
      <c r="Q43" s="4">
        <f>LN(raw!Q43)</f>
        <v>15.201804919084164</v>
      </c>
      <c r="R43" s="4">
        <f>LN(raw!R43)</f>
        <v>15.164362623608294</v>
      </c>
      <c r="S43" s="4">
        <f>LN(raw!S43)</f>
        <v>15.334586030317983</v>
      </c>
      <c r="T43" s="4">
        <f>LN(raw!T43)</f>
        <v>15.753820469675018</v>
      </c>
      <c r="U43" s="4">
        <f>LN(raw!U43)</f>
        <v>15.956517455302265</v>
      </c>
    </row>
    <row r="44" spans="1:21">
      <c r="A44" s="4" t="str">
        <f>raw!A44</f>
        <v>Kyrgyzstan</v>
      </c>
      <c r="B44" s="4" t="str">
        <f>raw!B44</f>
        <v xml:space="preserve"> 🇰🇬</v>
      </c>
      <c r="C44" s="4" t="str">
        <f>raw!C44</f>
        <v>Political Stability and Absence of Violence/Terrorism: Estimate</v>
      </c>
      <c r="D44" s="4">
        <f>raw!D44</f>
        <v>-0.61473059654235795</v>
      </c>
      <c r="E44" s="4">
        <f>raw!E44</f>
        <v>-1.09949171543121</v>
      </c>
      <c r="F44" s="4">
        <f>raw!F44</f>
        <v>-1.18346691131592</v>
      </c>
      <c r="G44" s="4">
        <f>raw!G44</f>
        <v>-1.1744259595871001</v>
      </c>
      <c r="H44" s="4">
        <f>raw!H44</f>
        <v>-1.38557076454163</v>
      </c>
      <c r="I44" s="4">
        <f>raw!I44</f>
        <v>-0.99026048183441195</v>
      </c>
      <c r="J44" s="4">
        <f>raw!J44</f>
        <v>-0.567302405834198</v>
      </c>
      <c r="K44" s="4">
        <f>raw!K44</f>
        <v>-0.62296938896179199</v>
      </c>
      <c r="L44" s="4">
        <f>raw!L44</f>
        <v>-1.0396523475646999</v>
      </c>
      <c r="M44" s="4">
        <f>raw!M44</f>
        <v>-1.0980306863784799</v>
      </c>
      <c r="N44" s="4">
        <f>raw!N44</f>
        <v>-0.91125136613845803</v>
      </c>
      <c r="O44" s="4">
        <f>raw!O44</f>
        <v>-0.91177380084991499</v>
      </c>
      <c r="P44" s="4">
        <f>raw!P44</f>
        <v>-0.80461567640304599</v>
      </c>
      <c r="Q44" s="4">
        <f>raw!Q44</f>
        <v>-0.882429659366608</v>
      </c>
      <c r="R44" s="4">
        <f>raw!R44</f>
        <v>-0.65201967954635598</v>
      </c>
      <c r="S44" s="4">
        <f>raw!S44</f>
        <v>-0.362505912780762</v>
      </c>
      <c r="T44" s="4">
        <f>raw!T44</f>
        <v>-0.52971208095550504</v>
      </c>
      <c r="U44" s="4">
        <f>raw!U44</f>
        <v>-0.26556807756424</v>
      </c>
    </row>
    <row r="45" spans="1:21">
      <c r="A45" s="4" t="str">
        <f>raw!A45</f>
        <v>Kyrgyzstan</v>
      </c>
      <c r="B45" s="4" t="str">
        <f>raw!B45</f>
        <v xml:space="preserve"> 🇰🇬</v>
      </c>
      <c r="C45" s="4" t="str">
        <f>raw!C45</f>
        <v>Official exchange rate (LCU per US$, period average)</v>
      </c>
      <c r="D45" s="4">
        <f>LN(raw!D45)</f>
        <v>3.8488076973468068</v>
      </c>
      <c r="E45" s="4">
        <f>LN(raw!E45)</f>
        <v>3.7761660536430348</v>
      </c>
      <c r="F45" s="4">
        <f>LN(raw!F45)</f>
        <v>3.7530259062149871</v>
      </c>
      <c r="G45" s="4">
        <f>LN(raw!G45)</f>
        <v>3.7138603301752009</v>
      </c>
      <c r="H45" s="4">
        <f>LN(raw!H45)</f>
        <v>3.6926946655658024</v>
      </c>
      <c r="I45" s="4">
        <f>LN(raw!I45)</f>
        <v>3.6194290709904484</v>
      </c>
      <c r="J45" s="4">
        <f>LN(raw!J45)</f>
        <v>3.5993537825695459</v>
      </c>
      <c r="K45" s="4">
        <f>LN(raw!K45)</f>
        <v>3.7589675866945278</v>
      </c>
      <c r="L45" s="4">
        <f>LN(raw!L45)</f>
        <v>3.8278641684563612</v>
      </c>
      <c r="M45" s="4">
        <f>LN(raw!M45)</f>
        <v>3.8317648030767257</v>
      </c>
      <c r="N45" s="4">
        <f>LN(raw!N45)</f>
        <v>3.8502428980682972</v>
      </c>
      <c r="O45" s="4">
        <f>LN(raw!O45)</f>
        <v>3.8802858478732438</v>
      </c>
      <c r="P45" s="4">
        <f>LN(raw!P45)</f>
        <v>3.9825571104441964</v>
      </c>
      <c r="Q45" s="4">
        <f>LN(raw!Q45)</f>
        <v>4.1660775825314564</v>
      </c>
      <c r="R45" s="4">
        <f>LN(raw!R45)</f>
        <v>4.2472668568259131</v>
      </c>
      <c r="S45" s="4">
        <f>LN(raw!S45)</f>
        <v>4.232172285331993</v>
      </c>
      <c r="T45" s="4">
        <f>LN(raw!T45)</f>
        <v>4.2317896245530386</v>
      </c>
      <c r="U45" s="4">
        <f>LN(raw!U45)</f>
        <v>4.2454814075915053</v>
      </c>
    </row>
    <row r="46" spans="1:21">
      <c r="A46" s="4" t="str">
        <f>raw!A46</f>
        <v>Kyrgyzstan</v>
      </c>
      <c r="B46" s="4" t="str">
        <f>raw!B46</f>
        <v xml:space="preserve"> 🇰🇬</v>
      </c>
      <c r="C46" s="4" t="str">
        <f>raw!C46</f>
        <v>Rule of Law: Estimate</v>
      </c>
      <c r="D46" s="4">
        <f>raw!D46</f>
        <v>-0.85391426086425803</v>
      </c>
      <c r="E46" s="4">
        <f>raw!E46</f>
        <v>-0.76016002893447898</v>
      </c>
      <c r="F46" s="4">
        <f>raw!F46</f>
        <v>-0.79316699504852295</v>
      </c>
      <c r="G46" s="4">
        <f>raw!G46</f>
        <v>-1.1232408285141</v>
      </c>
      <c r="H46" s="4">
        <f>raw!H46</f>
        <v>-1.31729280948639</v>
      </c>
      <c r="I46" s="4">
        <f>raw!I46</f>
        <v>-1.3219470977783201</v>
      </c>
      <c r="J46" s="4">
        <f>raw!J46</f>
        <v>-1.3829139471054099</v>
      </c>
      <c r="K46" s="4">
        <f>raw!K46</f>
        <v>-1.3297537565231301</v>
      </c>
      <c r="L46" s="4">
        <f>raw!L46</f>
        <v>-1.2694574594497701</v>
      </c>
      <c r="M46" s="4">
        <f>raw!M46</f>
        <v>-1.19611263275146</v>
      </c>
      <c r="N46" s="4">
        <f>raw!N46</f>
        <v>-1.1348477602005</v>
      </c>
      <c r="O46" s="4">
        <f>raw!O46</f>
        <v>-1.1153327226638801</v>
      </c>
      <c r="P46" s="4">
        <f>raw!P46</f>
        <v>-0.93623667955398604</v>
      </c>
      <c r="Q46" s="4">
        <f>raw!Q46</f>
        <v>-1.0145168304443399</v>
      </c>
      <c r="R46" s="4">
        <f>raw!R46</f>
        <v>-1.04514920711517</v>
      </c>
      <c r="S46" s="4">
        <f>raw!S46</f>
        <v>-0.94707208871841397</v>
      </c>
      <c r="T46" s="4">
        <f>raw!T46</f>
        <v>-0.92870146036148105</v>
      </c>
      <c r="U46" s="4">
        <f>raw!U46</f>
        <v>-0.91463732719421398</v>
      </c>
    </row>
    <row r="47" spans="1:21">
      <c r="A47" s="4" t="str">
        <f>raw!A47</f>
        <v>Saudi Arabia</v>
      </c>
      <c r="B47" s="4" t="str">
        <f>raw!B47</f>
        <v xml:space="preserve"> 🇸🇦</v>
      </c>
      <c r="C47" s="4" t="str">
        <f>raw!C47</f>
        <v>GDP per capita, PPP (constant 2021 international $)</v>
      </c>
      <c r="D47" s="4">
        <f>LN(raw!D47)</f>
        <v>10.745819132101321</v>
      </c>
      <c r="E47" s="4">
        <f>LN(raw!E47)</f>
        <v>10.782130360313786</v>
      </c>
      <c r="F47" s="4">
        <f>LN(raw!F47)</f>
        <v>10.819001322700855</v>
      </c>
      <c r="G47" s="4">
        <f>LN(raw!G47)</f>
        <v>10.832476333531867</v>
      </c>
      <c r="H47" s="4">
        <f>LN(raw!H47)</f>
        <v>10.822265608519311</v>
      </c>
      <c r="I47" s="4">
        <f>LN(raw!I47)</f>
        <v>10.802665820707253</v>
      </c>
      <c r="J47" s="4">
        <f>LN(raw!J47)</f>
        <v>10.822890118085512</v>
      </c>
      <c r="K47" s="4">
        <f>LN(raw!K47)</f>
        <v>10.773016770120794</v>
      </c>
      <c r="L47" s="4">
        <f>LN(raw!L47)</f>
        <v>10.832107803857003</v>
      </c>
      <c r="M47" s="4">
        <f>LN(raw!M47)</f>
        <v>10.891024900126551</v>
      </c>
      <c r="N47" s="4">
        <f>LN(raw!N47)</f>
        <v>10.901675516684138</v>
      </c>
      <c r="O47" s="4">
        <f>LN(raw!O47)</f>
        <v>10.872592459521249</v>
      </c>
      <c r="P47" s="4">
        <f>LN(raw!P47)</f>
        <v>10.885493970437466</v>
      </c>
      <c r="Q47" s="4">
        <f>LN(raw!Q47)</f>
        <v>10.877728986511059</v>
      </c>
      <c r="R47" s="4">
        <f>LN(raw!R47)</f>
        <v>10.858947893919851</v>
      </c>
      <c r="S47" s="4">
        <f>LN(raw!S47)</f>
        <v>10.867269304720669</v>
      </c>
      <c r="T47" s="4">
        <f>LN(raw!T47)</f>
        <v>10.924298161891253</v>
      </c>
      <c r="U47" s="4">
        <f>LN(raw!U47)</f>
        <v>10.939612699939719</v>
      </c>
    </row>
    <row r="48" spans="1:21">
      <c r="A48" s="4" t="str">
        <f>raw!A48</f>
        <v>Saudi Arabia</v>
      </c>
      <c r="B48" s="4" t="str">
        <f>raw!B48</f>
        <v xml:space="preserve"> 🇸🇦</v>
      </c>
      <c r="C48" s="4" t="str">
        <f>raw!C48</f>
        <v>International tourism, number of arrivals</v>
      </c>
      <c r="D48" s="4">
        <f>LN(raw!D48)</f>
        <v>15.831879170668149</v>
      </c>
      <c r="E48" s="4">
        <f>LN(raw!E48)</f>
        <v>15.807486073862835</v>
      </c>
      <c r="F48" s="4">
        <f>LN(raw!F48)</f>
        <v>16.22092296075779</v>
      </c>
      <c r="G48" s="4">
        <f>LN(raw!G48)</f>
        <v>16.158949644966587</v>
      </c>
      <c r="H48" s="4">
        <f>LN(raw!H48)</f>
        <v>16.209945304588199</v>
      </c>
      <c r="I48" s="4">
        <f>LN(raw!I48)</f>
        <v>16.416643476720406</v>
      </c>
      <c r="J48" s="4">
        <f>LN(raw!J48)</f>
        <v>16.690035188582574</v>
      </c>
      <c r="K48" s="4">
        <f>LN(raw!K48)</f>
        <v>16.404702145183169</v>
      </c>
      <c r="L48" s="4">
        <f>LN(raw!L48)</f>
        <v>16.382381145603706</v>
      </c>
      <c r="M48" s="4">
        <f>LN(raw!M48)</f>
        <v>16.574000355824555</v>
      </c>
      <c r="N48" s="4">
        <f>LN(raw!N48)</f>
        <v>16.803563420174395</v>
      </c>
      <c r="O48" s="4">
        <f>LN(raw!O48)</f>
        <v>16.807937374509539</v>
      </c>
      <c r="P48" s="4">
        <f>LN(raw!P48)</f>
        <v>16.95143946201155</v>
      </c>
      <c r="Q48" s="4">
        <f>LN(raw!Q48)</f>
        <v>16.898978945822353</v>
      </c>
      <c r="R48" s="4">
        <f>LN(raw!R48)</f>
        <v>16.854637513837453</v>
      </c>
      <c r="S48" s="4">
        <f>LN(raw!S48)</f>
        <v>16.73904841196978</v>
      </c>
      <c r="T48" s="4">
        <f>LN(raw!T48)</f>
        <v>16.681703460163281</v>
      </c>
      <c r="U48" s="4">
        <f>LN(raw!U48)</f>
        <v>16.825737277668718</v>
      </c>
    </row>
    <row r="49" spans="1:21">
      <c r="A49" s="4" t="str">
        <f>raw!A49</f>
        <v>Saudi Arabia</v>
      </c>
      <c r="B49" s="4" t="str">
        <f>raw!B49</f>
        <v xml:space="preserve"> 🇸🇦</v>
      </c>
      <c r="C49" s="4" t="str">
        <f>raw!C49</f>
        <v>Political Stability and Absence of Violence/Terrorism: Estimate</v>
      </c>
      <c r="D49" s="4">
        <f>raw!D49</f>
        <v>2.42432416416705E-3</v>
      </c>
      <c r="E49" s="4">
        <f>raw!E49</f>
        <v>0.141017645597458</v>
      </c>
      <c r="F49" s="4">
        <f>raw!F49</f>
        <v>-0.65463250875473</v>
      </c>
      <c r="G49" s="4">
        <f>raw!G49</f>
        <v>-0.24061401188373599</v>
      </c>
      <c r="H49" s="4">
        <f>raw!H49</f>
        <v>-0.52242380380630504</v>
      </c>
      <c r="I49" s="4">
        <f>raw!I49</f>
        <v>-0.46730524301528897</v>
      </c>
      <c r="J49" s="4">
        <f>raw!J49</f>
        <v>-0.33652442693710299</v>
      </c>
      <c r="K49" s="4">
        <f>raw!K49</f>
        <v>-0.49253523349762002</v>
      </c>
      <c r="L49" s="4">
        <f>raw!L49</f>
        <v>-0.226726979017258</v>
      </c>
      <c r="M49" s="4">
        <f>raw!M49</f>
        <v>-0.46479964256286599</v>
      </c>
      <c r="N49" s="4">
        <f>raw!N49</f>
        <v>-0.48068824410438499</v>
      </c>
      <c r="O49" s="4">
        <f>raw!O49</f>
        <v>-0.43178412318229697</v>
      </c>
      <c r="P49" s="4">
        <f>raw!P49</f>
        <v>-0.28584465384483299</v>
      </c>
      <c r="Q49" s="4">
        <f>raw!Q49</f>
        <v>-0.63438719511032104</v>
      </c>
      <c r="R49" s="4">
        <f>raw!R49</f>
        <v>-0.47277110815048201</v>
      </c>
      <c r="S49" s="4">
        <f>raw!S49</f>
        <v>-0.64962571859359697</v>
      </c>
      <c r="T49" s="4">
        <f>raw!T49</f>
        <v>-0.66098761558532704</v>
      </c>
      <c r="U49" s="4">
        <f>raw!U49</f>
        <v>-0.62404739856720004</v>
      </c>
    </row>
    <row r="50" spans="1:21">
      <c r="A50" s="4" t="str">
        <f>raw!A50</f>
        <v>Saudi Arabia</v>
      </c>
      <c r="B50" s="4" t="str">
        <f>raw!B50</f>
        <v xml:space="preserve"> 🇸🇦</v>
      </c>
      <c r="C50" s="4" t="str">
        <f>raw!C50</f>
        <v>Official exchange rate (LCU per US$, period average)</v>
      </c>
      <c r="D50" s="4">
        <f>LN(raw!D50)</f>
        <v>1.3217558399823195</v>
      </c>
      <c r="E50" s="4">
        <f>LN(raw!E50)</f>
        <v>1.3217558399823195</v>
      </c>
      <c r="F50" s="4">
        <f>LN(raw!F50)</f>
        <v>1.3217558399823195</v>
      </c>
      <c r="G50" s="4">
        <f>LN(raw!G50)</f>
        <v>1.3217558399823195</v>
      </c>
      <c r="H50" s="4">
        <f>LN(raw!H50)</f>
        <v>1.3217558399823195</v>
      </c>
      <c r="I50" s="4">
        <f>LN(raw!I50)</f>
        <v>1.3217558399823195</v>
      </c>
      <c r="J50" s="4">
        <f>LN(raw!J50)</f>
        <v>1.3217558399823195</v>
      </c>
      <c r="K50" s="4">
        <f>LN(raw!K50)</f>
        <v>1.3217558399823195</v>
      </c>
      <c r="L50" s="4">
        <f>LN(raw!L50)</f>
        <v>1.3217558399823195</v>
      </c>
      <c r="M50" s="4">
        <f>LN(raw!M50)</f>
        <v>1.3217558399823195</v>
      </c>
      <c r="N50" s="4">
        <f>LN(raw!N50)</f>
        <v>1.3217558399823195</v>
      </c>
      <c r="O50" s="4">
        <f>LN(raw!O50)</f>
        <v>1.3217558399823195</v>
      </c>
      <c r="P50" s="4">
        <f>LN(raw!P50)</f>
        <v>1.3217558399823195</v>
      </c>
      <c r="Q50" s="4">
        <f>LN(raw!Q50)</f>
        <v>1.3217558399823195</v>
      </c>
      <c r="R50" s="4">
        <f>LN(raw!R50)</f>
        <v>1.3217558399823195</v>
      </c>
      <c r="S50" s="4">
        <f>LN(raw!S50)</f>
        <v>1.3217558399823195</v>
      </c>
      <c r="T50" s="4">
        <f>LN(raw!T50)</f>
        <v>1.3217558399823195</v>
      </c>
      <c r="U50" s="4">
        <f>LN(raw!U50)</f>
        <v>1.3217558399823195</v>
      </c>
    </row>
    <row r="51" spans="1:21">
      <c r="A51" s="4" t="str">
        <f>raw!A51</f>
        <v>Saudi Arabia</v>
      </c>
      <c r="B51" s="4" t="str">
        <f>raw!B51</f>
        <v xml:space="preserve"> 🇸🇦</v>
      </c>
      <c r="C51" s="4" t="str">
        <f>raw!C51</f>
        <v>Rule of Law: Estimate</v>
      </c>
      <c r="D51" s="4">
        <f>raw!D51</f>
        <v>-1.7828591167926799E-2</v>
      </c>
      <c r="E51" s="4">
        <f>raw!E51</f>
        <v>0.10894649475812899</v>
      </c>
      <c r="F51" s="4">
        <f>raw!F51</f>
        <v>1.21128251776099E-2</v>
      </c>
      <c r="G51" s="4">
        <f>raw!G51</f>
        <v>-2.2657472640276E-2</v>
      </c>
      <c r="H51" s="4">
        <f>raw!H51</f>
        <v>1.1266702786088E-2</v>
      </c>
      <c r="I51" s="4">
        <f>raw!I51</f>
        <v>6.7988209426403004E-2</v>
      </c>
      <c r="J51" s="4">
        <f>raw!J51</f>
        <v>6.8728327751159696E-2</v>
      </c>
      <c r="K51" s="4">
        <f>raw!K51</f>
        <v>4.51107770204544E-2</v>
      </c>
      <c r="L51" s="4">
        <f>raw!L51</f>
        <v>0.14953184127807601</v>
      </c>
      <c r="M51" s="4">
        <f>raw!M51</f>
        <v>4.6536326408386203E-2</v>
      </c>
      <c r="N51" s="4">
        <f>raw!N51</f>
        <v>0.14434976875781999</v>
      </c>
      <c r="O51" s="4">
        <f>raw!O51</f>
        <v>0.15323460102081299</v>
      </c>
      <c r="P51" s="4">
        <f>raw!P51</f>
        <v>0.13271252810955</v>
      </c>
      <c r="Q51" s="4">
        <f>raw!Q51</f>
        <v>9.7564987838268294E-2</v>
      </c>
      <c r="R51" s="4">
        <f>raw!R51</f>
        <v>0.31581962108612099</v>
      </c>
      <c r="S51" s="4">
        <f>raw!S51</f>
        <v>7.7283516526222201E-2</v>
      </c>
      <c r="T51" s="4">
        <f>raw!T51</f>
        <v>0.117757342755795</v>
      </c>
      <c r="U51" s="4">
        <f>raw!U51</f>
        <v>0.14525765180587799</v>
      </c>
    </row>
    <row r="52" spans="1:21">
      <c r="A52" s="4" t="str">
        <f>raw!A52</f>
        <v>Türkiye</v>
      </c>
      <c r="B52" s="4" t="str">
        <f>raw!B52</f>
        <v xml:space="preserve"> 🇹🇷</v>
      </c>
      <c r="C52" s="4" t="str">
        <f>raw!C52</f>
        <v>GDP per capita, PPP (constant 2021 international $)</v>
      </c>
      <c r="D52" s="4">
        <f>LN(raw!D52)</f>
        <v>9.5769094673466011</v>
      </c>
      <c r="E52" s="4">
        <f>LN(raw!E52)</f>
        <v>9.6213325298816397</v>
      </c>
      <c r="F52" s="4">
        <f>LN(raw!F52)</f>
        <v>9.7036310376166117</v>
      </c>
      <c r="G52" s="4">
        <f>LN(raw!G52)</f>
        <v>9.7790517162801436</v>
      </c>
      <c r="H52" s="4">
        <f>LN(raw!H52)</f>
        <v>9.8359526019726022</v>
      </c>
      <c r="I52" s="4">
        <f>LN(raw!I52)</f>
        <v>9.8835484789364152</v>
      </c>
      <c r="J52" s="4">
        <f>LN(raw!J52)</f>
        <v>9.8790096571283321</v>
      </c>
      <c r="K52" s="4">
        <f>LN(raw!K52)</f>
        <v>9.8157731424069414</v>
      </c>
      <c r="L52" s="4">
        <f>LN(raw!L52)</f>
        <v>9.881486744671184</v>
      </c>
      <c r="M52" s="4">
        <f>LN(raw!M52)</f>
        <v>9.972970193308754</v>
      </c>
      <c r="N52" s="4">
        <f>LN(raw!N52)</f>
        <v>10.006996790605562</v>
      </c>
      <c r="O52" s="4">
        <f>LN(raw!O52)</f>
        <v>10.075601902660733</v>
      </c>
      <c r="P52" s="4">
        <f>LN(raw!P52)</f>
        <v>10.110326871625578</v>
      </c>
      <c r="Q52" s="4">
        <f>LN(raw!Q52)</f>
        <v>10.156051350842088</v>
      </c>
      <c r="R52" s="4">
        <f>LN(raw!R52)</f>
        <v>10.175287724315982</v>
      </c>
      <c r="S52" s="4">
        <f>LN(raw!S52)</f>
        <v>10.234659409895583</v>
      </c>
      <c r="T52" s="4">
        <f>LN(raw!T52)</f>
        <v>10.250810041992263</v>
      </c>
      <c r="U52" s="4">
        <f>LN(raw!U52)</f>
        <v>10.2446649018245</v>
      </c>
    </row>
    <row r="53" spans="1:21">
      <c r="A53" s="4" t="str">
        <f>raw!A53</f>
        <v>Türkiye</v>
      </c>
      <c r="B53" s="4" t="str">
        <f>raw!B53</f>
        <v xml:space="preserve"> 🇹🇷</v>
      </c>
      <c r="C53" s="4" t="str">
        <f>raw!C53</f>
        <v>International tourism, number of arrivals</v>
      </c>
      <c r="D53" s="4">
        <f>LN(raw!D53)</f>
        <v>16.399960838088536</v>
      </c>
      <c r="E53" s="4">
        <f>LN(raw!E53)</f>
        <v>16.456708452078644</v>
      </c>
      <c r="F53" s="4">
        <f>LN(raw!F53)</f>
        <v>16.678682395933784</v>
      </c>
      <c r="G53" s="4">
        <f>LN(raw!G53)</f>
        <v>16.865967731207512</v>
      </c>
      <c r="H53" s="4">
        <f>LN(raw!H53)</f>
        <v>16.802202086866117</v>
      </c>
      <c r="I53" s="4">
        <f>LN(raw!I53)</f>
        <v>17.119278849850438</v>
      </c>
      <c r="J53" s="4">
        <f>LN(raw!J53)</f>
        <v>17.253939496231755</v>
      </c>
      <c r="K53" s="4">
        <f>LN(raw!K53)</f>
        <v>17.273718194343211</v>
      </c>
      <c r="L53" s="4">
        <f>LN(raw!L53)</f>
        <v>17.311927206207365</v>
      </c>
      <c r="M53" s="4">
        <f>LN(raw!M53)</f>
        <v>17.420165656823869</v>
      </c>
      <c r="N53" s="4">
        <f>LN(raw!N53)</f>
        <v>17.445568451269867</v>
      </c>
      <c r="O53" s="4">
        <f>LN(raw!O53)</f>
        <v>17.500908960241556</v>
      </c>
      <c r="P53" s="4">
        <f>LN(raw!P53)</f>
        <v>17.54425955315866</v>
      </c>
      <c r="Q53" s="4">
        <f>LN(raw!Q53)</f>
        <v>17.531859254067754</v>
      </c>
      <c r="R53" s="4">
        <f>LN(raw!R53)</f>
        <v>17.246493253429122</v>
      </c>
      <c r="S53" s="4">
        <f>LN(raw!S53)</f>
        <v>17.452306932207986</v>
      </c>
      <c r="T53" s="4">
        <f>LN(raw!T53)</f>
        <v>17.646605463875179</v>
      </c>
      <c r="U53" s="4">
        <f>LN(raw!U53)</f>
        <v>17.761877017414875</v>
      </c>
    </row>
    <row r="54" spans="1:21">
      <c r="A54" s="4" t="str">
        <f>raw!A54</f>
        <v>Türkiye</v>
      </c>
      <c r="B54" s="4" t="str">
        <f>raw!B54</f>
        <v xml:space="preserve"> 🇹🇷</v>
      </c>
      <c r="C54" s="4" t="str">
        <f>raw!C54</f>
        <v>Political Stability and Absence of Violence/Terrorism: Estimate</v>
      </c>
      <c r="D54" s="4">
        <f>raw!D54</f>
        <v>-0.803475081920624</v>
      </c>
      <c r="E54" s="4">
        <f>raw!E54</f>
        <v>-0.76669061183929399</v>
      </c>
      <c r="F54" s="4">
        <f>raw!F54</f>
        <v>-0.83376455307006803</v>
      </c>
      <c r="G54" s="4">
        <f>raw!G54</f>
        <v>-0.60155117511749301</v>
      </c>
      <c r="H54" s="4">
        <f>raw!H54</f>
        <v>-0.59021300077438399</v>
      </c>
      <c r="I54" s="4">
        <f>raw!I54</f>
        <v>-0.81936287879943803</v>
      </c>
      <c r="J54" s="4">
        <f>raw!J54</f>
        <v>-0.82387435436248802</v>
      </c>
      <c r="K54" s="4">
        <f>raw!K54</f>
        <v>-1.03079056739807</v>
      </c>
      <c r="L54" s="4">
        <f>raw!L54</f>
        <v>-0.91528552770614602</v>
      </c>
      <c r="M54" s="4">
        <f>raw!M54</f>
        <v>-0.959997057914734</v>
      </c>
      <c r="N54" s="4">
        <f>raw!N54</f>
        <v>-1.22053194046021</v>
      </c>
      <c r="O54" s="4">
        <f>raw!O54</f>
        <v>-1.24993252754211</v>
      </c>
      <c r="P54" s="4">
        <f>raw!P54</f>
        <v>-1.0860359668731701</v>
      </c>
      <c r="Q54" s="4">
        <f>raw!Q54</f>
        <v>-1.4953097105026201</v>
      </c>
      <c r="R54" s="4">
        <f>raw!R54</f>
        <v>-2.0072147846221902</v>
      </c>
      <c r="S54" s="4">
        <f>raw!S54</f>
        <v>-1.78637635707855</v>
      </c>
      <c r="T54" s="4">
        <f>raw!T54</f>
        <v>-1.3151998519897501</v>
      </c>
      <c r="U54" s="4">
        <f>raw!U54</f>
        <v>-1.3781816959381099</v>
      </c>
    </row>
    <row r="55" spans="1:21">
      <c r="A55" s="4" t="str">
        <f>raw!A55</f>
        <v>Türkiye</v>
      </c>
      <c r="B55" s="4" t="str">
        <f>raw!B55</f>
        <v xml:space="preserve"> 🇹🇷</v>
      </c>
      <c r="C55" s="4" t="str">
        <f>raw!C55</f>
        <v>Official exchange rate (LCU per US$, period average)</v>
      </c>
      <c r="D55" s="4">
        <f>LN(raw!D55)</f>
        <v>0.41027115166796746</v>
      </c>
      <c r="E55" s="4">
        <f>LN(raw!E55)</f>
        <v>0.40605507310014305</v>
      </c>
      <c r="F55" s="4">
        <f>LN(raw!F55)</f>
        <v>0.35454876021121767</v>
      </c>
      <c r="G55" s="4">
        <f>LN(raw!G55)</f>
        <v>0.29534000673095495</v>
      </c>
      <c r="H55" s="4">
        <f>LN(raw!H55)</f>
        <v>0.35659232986319866</v>
      </c>
      <c r="I55" s="4">
        <f>LN(raw!I55)</f>
        <v>0.26461626936751331</v>
      </c>
      <c r="J55" s="4">
        <f>LN(raw!J55)</f>
        <v>0.26353412054814357</v>
      </c>
      <c r="K55" s="4">
        <f>LN(raw!K55)</f>
        <v>0.4382289794109594</v>
      </c>
      <c r="L55" s="4">
        <f>LN(raw!L55)</f>
        <v>0.40736239357148568</v>
      </c>
      <c r="M55" s="4">
        <f>LN(raw!M55)</f>
        <v>0.51578603175747439</v>
      </c>
      <c r="N55" s="4">
        <f>LN(raw!N55)</f>
        <v>0.58556249572260355</v>
      </c>
      <c r="O55" s="4">
        <f>LN(raw!O55)</f>
        <v>0.64383520755690882</v>
      </c>
      <c r="P55" s="4">
        <f>LN(raw!P55)</f>
        <v>0.78323575957417846</v>
      </c>
      <c r="Q55" s="4">
        <f>LN(raw!Q55)</f>
        <v>1.000635015562469</v>
      </c>
      <c r="R55" s="4">
        <f>LN(raw!R55)</f>
        <v>1.1053014489610784</v>
      </c>
      <c r="S55" s="4">
        <f>LN(raw!S55)</f>
        <v>1.2942154299307047</v>
      </c>
      <c r="T55" s="4">
        <f>LN(raw!T55)</f>
        <v>1.5745089670756223</v>
      </c>
      <c r="U55" s="4">
        <f>LN(raw!U55)</f>
        <v>1.7358624903448141</v>
      </c>
    </row>
    <row r="56" spans="1:21">
      <c r="A56" s="4" t="str">
        <f>raw!A56</f>
        <v>Turkiye</v>
      </c>
      <c r="B56" s="4" t="str">
        <f>raw!B56</f>
        <v xml:space="preserve"> 🇹🇷</v>
      </c>
      <c r="C56" s="4" t="str">
        <f>raw!C56</f>
        <v>Rule of Law: Estimate</v>
      </c>
      <c r="D56" s="4">
        <f>raw!D56</f>
        <v>-8.2183204591274303E-2</v>
      </c>
      <c r="E56" s="4">
        <f>raw!E56</f>
        <v>0.103039585053921</v>
      </c>
      <c r="F56" s="4">
        <f>raw!F56</f>
        <v>8.4699280560016604E-2</v>
      </c>
      <c r="G56" s="4">
        <f>raw!G56</f>
        <v>0.11746855080127699</v>
      </c>
      <c r="H56" s="4">
        <f>raw!H56</f>
        <v>-3.37432185187936E-3</v>
      </c>
      <c r="I56" s="4">
        <f>raw!I56</f>
        <v>-3.5805914551019703E-2</v>
      </c>
      <c r="J56" s="4">
        <f>raw!J56</f>
        <v>2.28446871042252E-2</v>
      </c>
      <c r="K56" s="4">
        <f>raw!K56</f>
        <v>4.8908550292253501E-2</v>
      </c>
      <c r="L56" s="4">
        <f>raw!L56</f>
        <v>4.9980122596025502E-2</v>
      </c>
      <c r="M56" s="4">
        <f>raw!M56</f>
        <v>1.54577177017927E-2</v>
      </c>
      <c r="N56" s="4">
        <f>raw!N56</f>
        <v>-3.6608554422855398E-2</v>
      </c>
      <c r="O56" s="4">
        <f>raw!O56</f>
        <v>-4.6927677467465401E-3</v>
      </c>
      <c r="P56" s="4">
        <f>raw!P56</f>
        <v>-7.60362073779106E-2</v>
      </c>
      <c r="Q56" s="4">
        <f>raw!Q56</f>
        <v>-0.23225000500678999</v>
      </c>
      <c r="R56" s="4">
        <f>raw!R56</f>
        <v>-0.34149235486984297</v>
      </c>
      <c r="S56" s="4">
        <f>raw!S56</f>
        <v>-0.31727251410484297</v>
      </c>
      <c r="T56" s="4">
        <f>raw!T56</f>
        <v>-0.390099376440048</v>
      </c>
      <c r="U56" s="4">
        <f>raw!U56</f>
        <v>-0.346833646297455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0EAA-45AF-4383-8D78-7F1C7EA6963F}">
  <dimension ref="A1:X56"/>
  <sheetViews>
    <sheetView workbookViewId="0">
      <selection activeCell="C8" sqref="C8"/>
    </sheetView>
  </sheetViews>
  <sheetFormatPr defaultRowHeight="14.4"/>
  <cols>
    <col min="1" max="1" width="15" bestFit="1" customWidth="1"/>
    <col min="3" max="3" width="65.77734375" customWidth="1"/>
    <col min="24" max="24" width="10" bestFit="1" customWidth="1"/>
  </cols>
  <sheetData>
    <row r="1" spans="1:24">
      <c r="A1" t="s">
        <v>584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4">
      <c r="A2" t="s">
        <v>25</v>
      </c>
      <c r="B2" t="s">
        <v>26</v>
      </c>
      <c r="C2" t="s">
        <v>21</v>
      </c>
      <c r="D2">
        <v>6599.6576059452327</v>
      </c>
      <c r="E2">
        <v>7218.4718855466044</v>
      </c>
      <c r="F2">
        <v>7817.716106749247</v>
      </c>
      <c r="G2">
        <v>9901.9266296604619</v>
      </c>
      <c r="H2">
        <v>13172.581293960342</v>
      </c>
      <c r="I2">
        <v>16280.083507883031</v>
      </c>
      <c r="J2">
        <v>17656.963450961106</v>
      </c>
      <c r="K2">
        <v>18901.885760900135</v>
      </c>
      <c r="L2">
        <v>19621.384345117709</v>
      </c>
      <c r="M2">
        <v>19386.743401325282</v>
      </c>
      <c r="N2">
        <v>19545.071857666764</v>
      </c>
      <c r="O2">
        <v>20414.831483661794</v>
      </c>
      <c r="P2">
        <v>20716.141522926879</v>
      </c>
      <c r="Q2">
        <v>20694.778755035586</v>
      </c>
      <c r="R2">
        <v>19830.322317630751</v>
      </c>
      <c r="S2">
        <v>19675.959890826372</v>
      </c>
      <c r="T2">
        <v>19798.833538714589</v>
      </c>
      <c r="U2">
        <v>20122.712852450903</v>
      </c>
    </row>
    <row r="3" spans="1:24">
      <c r="A3" t="s">
        <v>25</v>
      </c>
      <c r="B3" t="s">
        <v>26</v>
      </c>
      <c r="C3" t="s">
        <v>22</v>
      </c>
      <c r="D3">
        <v>834000</v>
      </c>
      <c r="E3">
        <v>1038000</v>
      </c>
      <c r="F3">
        <v>1279000</v>
      </c>
      <c r="G3">
        <v>1177000</v>
      </c>
      <c r="H3">
        <v>1194000</v>
      </c>
      <c r="I3">
        <v>1333000</v>
      </c>
      <c r="J3">
        <v>1899000</v>
      </c>
      <c r="K3">
        <v>1830000</v>
      </c>
      <c r="L3">
        <v>1963000</v>
      </c>
      <c r="M3">
        <v>2239000</v>
      </c>
      <c r="N3">
        <v>2484000</v>
      </c>
      <c r="O3">
        <v>2509000</v>
      </c>
      <c r="P3">
        <v>2298000</v>
      </c>
      <c r="Q3">
        <v>2006000</v>
      </c>
      <c r="R3">
        <v>2249000</v>
      </c>
      <c r="S3">
        <v>2697000</v>
      </c>
      <c r="T3">
        <v>2850000</v>
      </c>
      <c r="U3">
        <v>3170000</v>
      </c>
    </row>
    <row r="4" spans="1:24">
      <c r="A4" t="s">
        <v>25</v>
      </c>
      <c r="B4" t="s">
        <v>26</v>
      </c>
      <c r="C4" t="s">
        <v>23</v>
      </c>
      <c r="D4">
        <v>-1.1853649616241499</v>
      </c>
      <c r="E4">
        <v>-0.94810038805007901</v>
      </c>
      <c r="F4">
        <v>-1.0598111152648899</v>
      </c>
      <c r="G4">
        <v>-1.1248193979263299</v>
      </c>
      <c r="H4">
        <v>-1.0926823616027801</v>
      </c>
      <c r="I4">
        <v>-0.62599641084670998</v>
      </c>
      <c r="J4">
        <v>-0.330349981784821</v>
      </c>
      <c r="K4">
        <v>-0.27785351872444197</v>
      </c>
      <c r="L4">
        <v>-0.238546922802925</v>
      </c>
      <c r="M4">
        <v>-0.53213596343994096</v>
      </c>
      <c r="N4">
        <v>-0.71575182676315297</v>
      </c>
      <c r="O4">
        <v>-0.412859916687012</v>
      </c>
      <c r="P4">
        <v>-0.55990952253341697</v>
      </c>
      <c r="Q4">
        <v>-0.73391664028167702</v>
      </c>
      <c r="R4">
        <v>-0.80890882015228305</v>
      </c>
      <c r="S4">
        <v>-0.75190103054046598</v>
      </c>
      <c r="T4">
        <v>-0.71139937639236495</v>
      </c>
      <c r="U4">
        <v>-0.69341146945953402</v>
      </c>
    </row>
    <row r="5" spans="1:24">
      <c r="A5" t="s">
        <v>25</v>
      </c>
      <c r="B5" t="s">
        <v>26</v>
      </c>
      <c r="C5" t="s">
        <v>24</v>
      </c>
      <c r="D5">
        <v>0.97216416666666605</v>
      </c>
      <c r="E5">
        <v>0.98214599999999996</v>
      </c>
      <c r="F5">
        <v>0.98269550000000006</v>
      </c>
      <c r="G5">
        <v>0.94542099999999996</v>
      </c>
      <c r="H5">
        <v>0.89344500000000004</v>
      </c>
      <c r="I5">
        <v>0.85812380824372703</v>
      </c>
      <c r="J5">
        <v>0.82161957885304704</v>
      </c>
      <c r="K5">
        <v>0.80378333333333296</v>
      </c>
      <c r="L5">
        <v>0.80264999999999997</v>
      </c>
      <c r="M5">
        <v>0.78968638888888898</v>
      </c>
      <c r="N5">
        <v>0.78564534946236597</v>
      </c>
      <c r="O5">
        <v>0.784541075268817</v>
      </c>
      <c r="P5">
        <v>0.78434749999999998</v>
      </c>
      <c r="Q5">
        <v>1.0245638185505901</v>
      </c>
      <c r="R5">
        <v>1.59572157270424</v>
      </c>
      <c r="S5">
        <v>1.72115480222734</v>
      </c>
      <c r="T5">
        <v>1.7000166666666701</v>
      </c>
      <c r="U5">
        <v>1.7</v>
      </c>
    </row>
    <row r="6" spans="1:24">
      <c r="A6" t="str">
        <f>'Rule of Law'!A20</f>
        <v>Azerbaijan</v>
      </c>
      <c r="B6" t="str">
        <f>'Rule of Law'!B20</f>
        <v>AZE</v>
      </c>
      <c r="C6" t="str">
        <f>'Rule of Law'!C20</f>
        <v>Rule of Law: Estimate</v>
      </c>
      <c r="D6">
        <f>'Rule of Law'!AU20</f>
        <v>-0.964197218418121</v>
      </c>
      <c r="E6">
        <f>'Rule of Law'!AV20</f>
        <v>-0.88464474678039595</v>
      </c>
      <c r="F6">
        <f>'Rule of Law'!AW20</f>
        <v>-0.90051847696304299</v>
      </c>
      <c r="G6">
        <f>'Rule of Law'!AX20</f>
        <v>-0.79261243343353305</v>
      </c>
      <c r="H6">
        <f>'Rule of Law'!AY20</f>
        <v>-0.88592922687530495</v>
      </c>
      <c r="I6">
        <f>'Rule of Law'!AZ20</f>
        <v>-0.88002038002014205</v>
      </c>
      <c r="J6">
        <f>'Rule of Law'!BA20</f>
        <v>-0.83616048097610496</v>
      </c>
      <c r="K6">
        <f>'Rule of Law'!BB20</f>
        <v>-0.87917602062225297</v>
      </c>
      <c r="L6">
        <f>'Rule of Law'!BC20</f>
        <v>-0.89114505052566495</v>
      </c>
      <c r="M6">
        <f>'Rule of Law'!BD20</f>
        <v>-0.93872648477554299</v>
      </c>
      <c r="N6">
        <f>'Rule of Law'!BE20</f>
        <v>-0.87953269481658902</v>
      </c>
      <c r="O6">
        <f>'Rule of Law'!BF20</f>
        <v>-0.75626069307327304</v>
      </c>
      <c r="P6">
        <f>'Rule of Law'!BG20</f>
        <v>-0.69701200723648105</v>
      </c>
      <c r="Q6">
        <f>'Rule of Law'!BH20</f>
        <v>-0.71654456853866599</v>
      </c>
      <c r="R6">
        <f>'Rule of Law'!BI20</f>
        <v>-0.53935629129409801</v>
      </c>
      <c r="S6">
        <f>'Rule of Law'!BJ20</f>
        <v>-0.58492249250411998</v>
      </c>
      <c r="T6">
        <f>'Rule of Law'!BK20</f>
        <v>-0.619800806045532</v>
      </c>
      <c r="U6">
        <f>'Rule of Law'!BL20</f>
        <v>-0.61042803525924705</v>
      </c>
    </row>
    <row r="7" spans="1:24">
      <c r="A7" t="s">
        <v>27</v>
      </c>
      <c r="B7" t="s">
        <v>28</v>
      </c>
      <c r="C7" t="s">
        <v>21</v>
      </c>
      <c r="D7">
        <v>4650.8968213911085</v>
      </c>
      <c r="E7">
        <v>5085.9778309676758</v>
      </c>
      <c r="F7">
        <v>5567.1906124780126</v>
      </c>
      <c r="G7">
        <v>6165.183440175244</v>
      </c>
      <c r="H7">
        <v>6910.7578585477349</v>
      </c>
      <c r="I7">
        <v>7853.0963953811515</v>
      </c>
      <c r="J7">
        <v>8566.9648543521726</v>
      </c>
      <c r="K7">
        <v>9325.6507792553257</v>
      </c>
      <c r="L7">
        <v>10267.805668444682</v>
      </c>
      <c r="M7">
        <v>11187.166099521133</v>
      </c>
      <c r="N7">
        <v>11985.317124913145</v>
      </c>
      <c r="O7">
        <v>12830.369970508506</v>
      </c>
      <c r="P7">
        <v>13696.517494849211</v>
      </c>
      <c r="Q7">
        <v>14575.934789762397</v>
      </c>
      <c r="R7">
        <v>15485.213005460801</v>
      </c>
      <c r="S7">
        <v>16461.069929896028</v>
      </c>
      <c r="T7">
        <v>17490.166730180383</v>
      </c>
      <c r="U7">
        <v>18465.298945245009</v>
      </c>
    </row>
    <row r="8" spans="1:24" ht="15" customHeight="1">
      <c r="A8" t="s">
        <v>27</v>
      </c>
      <c r="B8" t="s">
        <v>28</v>
      </c>
      <c r="C8" t="s">
        <v>22</v>
      </c>
      <c r="D8">
        <v>97908000</v>
      </c>
      <c r="E8">
        <v>91662000</v>
      </c>
      <c r="F8">
        <v>109038000</v>
      </c>
      <c r="G8">
        <v>120292000</v>
      </c>
      <c r="H8">
        <v>124942000</v>
      </c>
      <c r="I8">
        <v>131873000</v>
      </c>
      <c r="J8">
        <v>130027000</v>
      </c>
      <c r="K8">
        <v>126476000</v>
      </c>
      <c r="L8">
        <v>133762000</v>
      </c>
      <c r="M8">
        <v>135423000</v>
      </c>
      <c r="N8">
        <v>132405000</v>
      </c>
      <c r="O8">
        <v>129078000</v>
      </c>
      <c r="P8">
        <v>128499000</v>
      </c>
      <c r="Q8">
        <v>133820000</v>
      </c>
      <c r="R8">
        <v>141774000</v>
      </c>
      <c r="S8">
        <v>153260000</v>
      </c>
      <c r="T8">
        <v>158606000</v>
      </c>
      <c r="U8">
        <v>162538000</v>
      </c>
    </row>
    <row r="9" spans="1:24">
      <c r="A9" t="s">
        <v>27</v>
      </c>
      <c r="B9" t="s">
        <v>28</v>
      </c>
      <c r="C9" t="s">
        <v>23</v>
      </c>
      <c r="D9">
        <v>-0.32762718200683599</v>
      </c>
      <c r="E9">
        <v>-0.56535792350768999</v>
      </c>
      <c r="F9">
        <v>-0.39068067073821999</v>
      </c>
      <c r="G9">
        <v>-0.50175660848617598</v>
      </c>
      <c r="H9">
        <v>-0.54003012180328402</v>
      </c>
      <c r="I9">
        <v>-0.50055372714996305</v>
      </c>
      <c r="J9">
        <v>-0.49308842420577997</v>
      </c>
      <c r="K9">
        <v>-0.45178133249282798</v>
      </c>
      <c r="L9">
        <v>-0.65706068277358998</v>
      </c>
      <c r="M9">
        <v>-0.60205483436584495</v>
      </c>
      <c r="N9">
        <v>-0.53878206014633201</v>
      </c>
      <c r="O9">
        <v>-0.543789923191071</v>
      </c>
      <c r="P9">
        <v>-0.52258402109146096</v>
      </c>
      <c r="Q9">
        <v>-0.552559673786163</v>
      </c>
      <c r="R9">
        <v>-0.50222134590148904</v>
      </c>
      <c r="S9">
        <v>-0.23255810141563399</v>
      </c>
      <c r="T9">
        <v>-0.29857248067855802</v>
      </c>
      <c r="U9">
        <v>-0.25978067517280601</v>
      </c>
      <c r="X9">
        <f>K8</f>
        <v>126476000</v>
      </c>
    </row>
    <row r="10" spans="1:24">
      <c r="A10" t="s">
        <v>27</v>
      </c>
      <c r="B10" t="s">
        <v>28</v>
      </c>
      <c r="C10" t="s">
        <v>24</v>
      </c>
      <c r="D10">
        <v>8.2769575</v>
      </c>
      <c r="E10">
        <v>8.2770366666666693</v>
      </c>
      <c r="F10">
        <v>8.2768008333333292</v>
      </c>
      <c r="G10">
        <v>8.1943166666666691</v>
      </c>
      <c r="H10">
        <v>7.9734383333333296</v>
      </c>
      <c r="I10">
        <v>7.6075324999999996</v>
      </c>
      <c r="J10">
        <v>6.9486549999999996</v>
      </c>
      <c r="K10">
        <v>6.8314160517666602</v>
      </c>
      <c r="L10">
        <v>6.7702690287093903</v>
      </c>
      <c r="M10">
        <v>6.4614613265500704</v>
      </c>
      <c r="N10">
        <v>6.3123328268318604</v>
      </c>
      <c r="O10">
        <v>6.19575834608231</v>
      </c>
      <c r="P10">
        <v>6.1434340944886703</v>
      </c>
      <c r="Q10">
        <v>6.22748867298455</v>
      </c>
      <c r="R10">
        <v>6.6444778294468003</v>
      </c>
      <c r="S10">
        <v>6.7587550863359702</v>
      </c>
      <c r="T10">
        <v>6.6159571773543897</v>
      </c>
      <c r="U10">
        <v>6.9083850099290096</v>
      </c>
      <c r="X10">
        <f>LN(X9)</f>
        <v>18.655563124811945</v>
      </c>
    </row>
    <row r="11" spans="1:24">
      <c r="A11" t="s">
        <v>27</v>
      </c>
      <c r="B11" t="s">
        <v>28</v>
      </c>
      <c r="C11" t="str">
        <f>'Rule of Law'!C45</f>
        <v>Rule of Law: Estimate</v>
      </c>
      <c r="D11">
        <f>'Rule of Law'!AU20</f>
        <v>-0.964197218418121</v>
      </c>
      <c r="E11">
        <f>'Rule of Law'!AV20</f>
        <v>-0.88464474678039595</v>
      </c>
      <c r="F11">
        <f>'Rule of Law'!AW20</f>
        <v>-0.90051847696304299</v>
      </c>
      <c r="G11">
        <f>'Rule of Law'!AX20</f>
        <v>-0.79261243343353305</v>
      </c>
      <c r="H11">
        <f>'Rule of Law'!AY20</f>
        <v>-0.88592922687530495</v>
      </c>
      <c r="I11">
        <f>'Rule of Law'!AZ20</f>
        <v>-0.88002038002014205</v>
      </c>
      <c r="J11">
        <f>'Rule of Law'!BA20</f>
        <v>-0.83616048097610496</v>
      </c>
      <c r="K11">
        <f>'Rule of Law'!BB20</f>
        <v>-0.87917602062225297</v>
      </c>
      <c r="L11">
        <f>'Rule of Law'!BC20</f>
        <v>-0.89114505052566495</v>
      </c>
      <c r="M11">
        <f>'Rule of Law'!BD20</f>
        <v>-0.93872648477554299</v>
      </c>
      <c r="N11">
        <f>'Rule of Law'!BE20</f>
        <v>-0.87953269481658902</v>
      </c>
      <c r="O11">
        <f>'Rule of Law'!BF20</f>
        <v>-0.75626069307327304</v>
      </c>
      <c r="P11">
        <f>'Rule of Law'!BG20</f>
        <v>-0.69701200723648105</v>
      </c>
      <c r="Q11">
        <f>'Rule of Law'!BH20</f>
        <v>-0.71654456853866599</v>
      </c>
      <c r="R11">
        <f>'Rule of Law'!BI20</f>
        <v>-0.53935629129409801</v>
      </c>
      <c r="S11">
        <f>'Rule of Law'!BJ20</f>
        <v>-0.58492249250411998</v>
      </c>
      <c r="T11">
        <f>'Rule of Law'!BK20</f>
        <v>-0.619800806045532</v>
      </c>
      <c r="U11">
        <f>'Rule of Law'!BL20</f>
        <v>-0.61042803525924705</v>
      </c>
    </row>
    <row r="12" spans="1:24">
      <c r="A12" t="s">
        <v>43</v>
      </c>
      <c r="B12" t="s">
        <v>29</v>
      </c>
      <c r="C12" t="s">
        <v>21</v>
      </c>
      <c r="D12">
        <v>10143.506345570213</v>
      </c>
      <c r="E12">
        <v>10250.37655004591</v>
      </c>
      <c r="F12">
        <v>10451.821751153688</v>
      </c>
      <c r="G12">
        <v>10700.609037323184</v>
      </c>
      <c r="H12">
        <v>11211.832022950844</v>
      </c>
      <c r="I12">
        <v>11782.006071796623</v>
      </c>
      <c r="J12">
        <v>12391.584762470471</v>
      </c>
      <c r="K12">
        <v>12728.081458673652</v>
      </c>
      <c r="L12">
        <v>13128.987833408457</v>
      </c>
      <c r="M12">
        <v>13082.426368070128</v>
      </c>
      <c r="N12">
        <v>13076.805239591393</v>
      </c>
      <c r="O12">
        <v>13058.074823925763</v>
      </c>
      <c r="P12">
        <v>13136.365629826982</v>
      </c>
      <c r="Q12">
        <v>13425.911959977495</v>
      </c>
      <c r="R12">
        <v>13727.320160049376</v>
      </c>
      <c r="S12">
        <v>14018.360593452953</v>
      </c>
      <c r="T12">
        <v>14488.209434048347</v>
      </c>
      <c r="U12">
        <v>15026.568243809694</v>
      </c>
    </row>
    <row r="13" spans="1:24">
      <c r="A13" t="s">
        <v>43</v>
      </c>
      <c r="B13" t="s">
        <v>29</v>
      </c>
      <c r="C13" t="s">
        <v>22</v>
      </c>
      <c r="D13">
        <v>5192000</v>
      </c>
      <c r="E13">
        <v>6044000</v>
      </c>
      <c r="F13">
        <v>8104000</v>
      </c>
      <c r="G13">
        <v>8608000</v>
      </c>
      <c r="H13">
        <v>9083000</v>
      </c>
      <c r="I13">
        <v>11091000</v>
      </c>
      <c r="J13">
        <v>12835000</v>
      </c>
      <c r="K13">
        <v>12536000</v>
      </c>
      <c r="L13">
        <v>14731000</v>
      </c>
      <c r="M13">
        <v>9845000</v>
      </c>
      <c r="N13">
        <v>11532000</v>
      </c>
      <c r="O13">
        <v>9464000</v>
      </c>
      <c r="P13">
        <v>9878000</v>
      </c>
      <c r="Q13">
        <v>9328000</v>
      </c>
      <c r="R13">
        <v>5399000</v>
      </c>
      <c r="S13">
        <v>8292000</v>
      </c>
      <c r="T13">
        <v>11346000</v>
      </c>
      <c r="U13">
        <v>13026000</v>
      </c>
    </row>
    <row r="14" spans="1:24">
      <c r="A14" t="s">
        <v>43</v>
      </c>
      <c r="B14" t="s">
        <v>29</v>
      </c>
      <c r="C14" t="s">
        <v>23</v>
      </c>
      <c r="D14">
        <v>-0.414172112941742</v>
      </c>
      <c r="E14">
        <v>-0.640924513339996</v>
      </c>
      <c r="F14">
        <v>-0.82240170240402199</v>
      </c>
      <c r="G14">
        <v>-0.62935864925384499</v>
      </c>
      <c r="H14">
        <v>-0.83780765533447299</v>
      </c>
      <c r="I14">
        <v>-0.552382111549377</v>
      </c>
      <c r="J14">
        <v>-0.51043170690536499</v>
      </c>
      <c r="K14">
        <v>-0.60722708702087402</v>
      </c>
      <c r="L14">
        <v>-0.89841830730438199</v>
      </c>
      <c r="M14">
        <v>-1.43705701828003</v>
      </c>
      <c r="N14">
        <v>-1.43632972240448</v>
      </c>
      <c r="O14">
        <v>-1.6388309001922601</v>
      </c>
      <c r="P14">
        <v>-1.63117659091949</v>
      </c>
      <c r="Q14">
        <v>-1.4993321895599401</v>
      </c>
      <c r="R14">
        <v>-1.4397268295288099</v>
      </c>
      <c r="S14">
        <v>-1.4296458959579501</v>
      </c>
      <c r="T14">
        <v>-1.18812155723572</v>
      </c>
      <c r="U14">
        <v>-1.1246308088302599</v>
      </c>
    </row>
    <row r="15" spans="1:24">
      <c r="A15" t="s">
        <v>43</v>
      </c>
      <c r="B15" t="s">
        <v>29</v>
      </c>
      <c r="C15" t="s">
        <v>24</v>
      </c>
      <c r="D15">
        <v>4.4996666666666698</v>
      </c>
      <c r="E15">
        <v>5.8508750000000003</v>
      </c>
      <c r="F15">
        <v>6.1962416666666602</v>
      </c>
      <c r="G15">
        <v>5.7788333333333304</v>
      </c>
      <c r="H15">
        <v>5.7331666666666603</v>
      </c>
      <c r="I15">
        <v>5.6354333333333404</v>
      </c>
      <c r="J15">
        <v>5.4325000000000001</v>
      </c>
      <c r="K15">
        <v>5.5445533086297702</v>
      </c>
      <c r="L15">
        <v>5.6219429176105002</v>
      </c>
      <c r="M15">
        <v>5.9328276515151499</v>
      </c>
      <c r="N15">
        <v>6.05605833333333</v>
      </c>
      <c r="O15">
        <v>6.8703250000000002</v>
      </c>
      <c r="P15">
        <v>7.0776085606060599</v>
      </c>
      <c r="Q15">
        <v>7.6912583333333302</v>
      </c>
      <c r="R15">
        <v>10.0254007885465</v>
      </c>
      <c r="S15">
        <v>17.782533515063601</v>
      </c>
      <c r="T15">
        <v>17.767290421810699</v>
      </c>
      <c r="U15">
        <v>16.7705818428763</v>
      </c>
    </row>
    <row r="16" spans="1:24">
      <c r="A16" t="s">
        <v>43</v>
      </c>
      <c r="B16" t="s">
        <v>29</v>
      </c>
      <c r="C16" t="str">
        <f>'Rule of Law'!C72</f>
        <v>Rule of Law: Estimate</v>
      </c>
      <c r="D16">
        <f>'Rule of Law'!AU72</f>
        <v>-1.14680724218488E-2</v>
      </c>
      <c r="E16">
        <f>'Rule of Law'!AV72</f>
        <v>-2.3544689174741498E-3</v>
      </c>
      <c r="F16">
        <f>'Rule of Law'!AW72</f>
        <v>1.3317895121872401E-2</v>
      </c>
      <c r="G16">
        <f>'Rule of Law'!AX72</f>
        <v>-1.2232348090037699E-3</v>
      </c>
      <c r="H16">
        <f>'Rule of Law'!AY72</f>
        <v>-0.27896744012832603</v>
      </c>
      <c r="I16">
        <f>'Rule of Law'!AZ72</f>
        <v>-0.24621348083019301</v>
      </c>
      <c r="J16">
        <f>'Rule of Law'!BA72</f>
        <v>-0.129783600568771</v>
      </c>
      <c r="K16">
        <f>'Rule of Law'!BB72</f>
        <v>-8.3344995975494399E-2</v>
      </c>
      <c r="L16">
        <f>'Rule of Law'!BC72</f>
        <v>-0.17486386001110099</v>
      </c>
      <c r="M16">
        <f>'Rule of Law'!BD72</f>
        <v>-0.48389309644699102</v>
      </c>
      <c r="N16">
        <f>'Rule of Law'!BE72</f>
        <v>-0.53639984130859397</v>
      </c>
      <c r="O16">
        <f>'Rule of Law'!BF72</f>
        <v>-0.73585569858551003</v>
      </c>
      <c r="P16">
        <f>'Rule of Law'!BG72</f>
        <v>-0.69840240478515603</v>
      </c>
      <c r="Q16">
        <f>'Rule of Law'!BH72</f>
        <v>-0.60183113813400302</v>
      </c>
      <c r="R16">
        <f>'Rule of Law'!BI72</f>
        <v>-0.47747579216957098</v>
      </c>
      <c r="S16">
        <f>'Rule of Law'!BJ72</f>
        <v>-0.44803613424301098</v>
      </c>
      <c r="T16">
        <f>'Rule of Law'!BK72</f>
        <v>-0.30144557356834401</v>
      </c>
      <c r="U16">
        <f>'Rule of Law'!BL72</f>
        <v>-0.33212333917617798</v>
      </c>
    </row>
    <row r="17" spans="1:21">
      <c r="A17" t="s">
        <v>30</v>
      </c>
      <c r="B17" t="s">
        <v>31</v>
      </c>
      <c r="C17" t="s">
        <v>21</v>
      </c>
      <c r="D17">
        <v>6464.3253967264773</v>
      </c>
      <c r="E17">
        <v>7227.7370596070123</v>
      </c>
      <c r="F17">
        <v>7693.9152539206725</v>
      </c>
      <c r="G17">
        <v>8485.5867053495294</v>
      </c>
      <c r="H17">
        <v>9337.9890642010141</v>
      </c>
      <c r="I17">
        <v>10567.274716475777</v>
      </c>
      <c r="J17">
        <v>10856.103132800328</v>
      </c>
      <c r="K17">
        <v>10553.08963958534</v>
      </c>
      <c r="L17">
        <v>11294.368591711207</v>
      </c>
      <c r="M17">
        <v>12288.682886115614</v>
      </c>
      <c r="N17">
        <v>13193.959697405353</v>
      </c>
      <c r="O17">
        <v>13913.001824566119</v>
      </c>
      <c r="P17">
        <v>14475.313535603471</v>
      </c>
      <c r="Q17">
        <v>14936.843411664659</v>
      </c>
      <c r="R17">
        <v>15442.956435805378</v>
      </c>
      <c r="S17">
        <v>16237.624223027518</v>
      </c>
      <c r="T17">
        <v>17228.679084750325</v>
      </c>
      <c r="U17">
        <v>18186.881646580699</v>
      </c>
    </row>
    <row r="18" spans="1:21">
      <c r="A18" t="s">
        <v>30</v>
      </c>
      <c r="B18" t="s">
        <v>31</v>
      </c>
      <c r="C18" t="s">
        <v>22</v>
      </c>
      <c r="D18">
        <v>298000</v>
      </c>
      <c r="E18">
        <v>313000</v>
      </c>
      <c r="F18">
        <v>368000</v>
      </c>
      <c r="G18">
        <v>560000</v>
      </c>
      <c r="H18">
        <v>983000</v>
      </c>
      <c r="I18">
        <v>1052000</v>
      </c>
      <c r="J18">
        <v>1290000</v>
      </c>
      <c r="K18">
        <v>1500000</v>
      </c>
      <c r="L18">
        <v>2032000</v>
      </c>
      <c r="M18">
        <v>2712000</v>
      </c>
      <c r="N18">
        <v>4106000</v>
      </c>
      <c r="O18">
        <v>4954000</v>
      </c>
      <c r="P18">
        <v>5004000</v>
      </c>
      <c r="Q18">
        <v>5256000</v>
      </c>
      <c r="R18">
        <v>5393000</v>
      </c>
      <c r="S18">
        <v>6483000</v>
      </c>
      <c r="T18">
        <v>7203000</v>
      </c>
      <c r="U18">
        <v>7726000</v>
      </c>
    </row>
    <row r="19" spans="1:21">
      <c r="A19" t="s">
        <v>30</v>
      </c>
      <c r="B19" t="s">
        <v>31</v>
      </c>
      <c r="C19" t="s">
        <v>23</v>
      </c>
      <c r="D19">
        <v>-1.1920413970947299</v>
      </c>
      <c r="E19">
        <v>-1.29921066761017</v>
      </c>
      <c r="F19">
        <v>-0.86411815881729104</v>
      </c>
      <c r="G19">
        <v>-0.75590491294860795</v>
      </c>
      <c r="H19">
        <v>-0.96609878540039096</v>
      </c>
      <c r="I19">
        <v>-0.645898997783661</v>
      </c>
      <c r="J19">
        <v>-0.91967511177062999</v>
      </c>
      <c r="K19">
        <v>-0.96552491188049305</v>
      </c>
      <c r="L19">
        <v>-0.71832090616226196</v>
      </c>
      <c r="M19">
        <v>-0.65695196390152</v>
      </c>
      <c r="N19">
        <v>-0.68045395612716697</v>
      </c>
      <c r="O19">
        <v>-0.44136616587638899</v>
      </c>
      <c r="P19">
        <v>-0.32150754332542397</v>
      </c>
      <c r="Q19">
        <v>-0.47215375304222101</v>
      </c>
      <c r="R19">
        <v>-0.32011508941650402</v>
      </c>
      <c r="S19">
        <v>-0.37521475553512601</v>
      </c>
      <c r="T19">
        <v>-0.44756287336349498</v>
      </c>
      <c r="U19">
        <v>-0.49817195534706099</v>
      </c>
    </row>
    <row r="20" spans="1:21">
      <c r="A20" t="s">
        <v>30</v>
      </c>
      <c r="B20" t="s">
        <v>31</v>
      </c>
      <c r="C20" t="s">
        <v>24</v>
      </c>
      <c r="D20">
        <v>2.195675</v>
      </c>
      <c r="E20">
        <v>2.1456499999999998</v>
      </c>
      <c r="F20">
        <v>1.91665</v>
      </c>
      <c r="G20">
        <v>1.812675</v>
      </c>
      <c r="H20">
        <v>1.78043333333333</v>
      </c>
      <c r="I20">
        <v>1.67049166666667</v>
      </c>
      <c r="J20">
        <v>1.4907916666666701</v>
      </c>
      <c r="K20">
        <v>1.6704870967741901</v>
      </c>
      <c r="L20">
        <v>1.78234166666667</v>
      </c>
      <c r="M20">
        <v>1.6864954301075299</v>
      </c>
      <c r="N20">
        <v>1.6512583333333299</v>
      </c>
      <c r="O20">
        <v>1.6633500000000001</v>
      </c>
      <c r="P20">
        <v>1.76566666666667</v>
      </c>
      <c r="Q20">
        <v>2.2693416666666701</v>
      </c>
      <c r="R20">
        <v>2.3667250000000002</v>
      </c>
      <c r="S20">
        <v>2.5095416666666699</v>
      </c>
      <c r="T20">
        <v>2.53411083333333</v>
      </c>
      <c r="U20">
        <v>2.8181449999999999</v>
      </c>
    </row>
    <row r="21" spans="1:21">
      <c r="A21" t="str">
        <f>'Rule of Law'!A87</f>
        <v>Georgia</v>
      </c>
      <c r="B21" t="s">
        <v>31</v>
      </c>
      <c r="C21" t="str">
        <f>'Rule of Law'!C87</f>
        <v>Rule of Law: Estimate</v>
      </c>
      <c r="D21">
        <f>'Rule of Law'!AU87</f>
        <v>-1.0840562582016</v>
      </c>
      <c r="E21">
        <f>'Rule of Law'!AV87</f>
        <v>-0.91225409507751498</v>
      </c>
      <c r="F21">
        <f>'Rule of Law'!AW87</f>
        <v>-0.74976998567581199</v>
      </c>
      <c r="G21">
        <f>'Rule of Law'!AX87</f>
        <v>-0.69596260786056496</v>
      </c>
      <c r="H21">
        <f>'Rule of Law'!AY87</f>
        <v>-0.46166732907295199</v>
      </c>
      <c r="I21">
        <f>'Rule of Law'!AZ87</f>
        <v>-0.34445914626121499</v>
      </c>
      <c r="J21">
        <f>'Rule of Law'!BA87</f>
        <v>-0.26294445991516102</v>
      </c>
      <c r="K21">
        <f>'Rule of Law'!BB87</f>
        <v>-0.19931532442569699</v>
      </c>
      <c r="L21">
        <f>'Rule of Law'!BC87</f>
        <v>-0.20598497986793499</v>
      </c>
      <c r="M21">
        <f>'Rule of Law'!BD87</f>
        <v>-0.119617037475109</v>
      </c>
      <c r="N21">
        <f>'Rule of Law'!BE87</f>
        <v>-6.2173483893275304E-3</v>
      </c>
      <c r="O21">
        <f>'Rule of Law'!BF87</f>
        <v>4.9099563620984598E-3</v>
      </c>
      <c r="P21">
        <f>'Rule of Law'!BG87</f>
        <v>0.22474896907806399</v>
      </c>
      <c r="Q21">
        <f>'Rule of Law'!BH87</f>
        <v>0.22280541062355</v>
      </c>
      <c r="R21">
        <f>'Rule of Law'!BI87</f>
        <v>0.33577191829681402</v>
      </c>
      <c r="S21">
        <f>'Rule of Law'!BJ87</f>
        <v>0.26274272799491899</v>
      </c>
      <c r="T21">
        <f>'Rule of Law'!BK87</f>
        <v>0.27051076292991599</v>
      </c>
      <c r="U21">
        <f>'Rule of Law'!BL87</f>
        <v>0.24869154393672899</v>
      </c>
    </row>
    <row r="22" spans="1:21">
      <c r="A22" t="s">
        <v>32</v>
      </c>
      <c r="B22" t="s">
        <v>33</v>
      </c>
      <c r="C22" t="s">
        <v>21</v>
      </c>
      <c r="D22">
        <v>3250.6956554491749</v>
      </c>
      <c r="E22">
        <v>3445.925923523952</v>
      </c>
      <c r="F22">
        <v>3656.1262065209785</v>
      </c>
      <c r="G22">
        <v>3881.9661798272996</v>
      </c>
      <c r="H22">
        <v>4129.778370092391</v>
      </c>
      <c r="I22">
        <v>4379.696043611505</v>
      </c>
      <c r="J22">
        <v>4450.3902291923832</v>
      </c>
      <c r="K22">
        <v>4731.3616046389634</v>
      </c>
      <c r="L22">
        <v>5059.2827108397987</v>
      </c>
      <c r="M22">
        <v>5249.5492569402568</v>
      </c>
      <c r="N22">
        <v>5460.4376857005163</v>
      </c>
      <c r="O22">
        <v>5732.2418909087555</v>
      </c>
      <c r="P22">
        <v>6079.843935236946</v>
      </c>
      <c r="Q22">
        <v>6488.1460291078702</v>
      </c>
      <c r="R22">
        <v>6940.6258885752204</v>
      </c>
      <c r="S22">
        <v>7326.6069367985874</v>
      </c>
      <c r="T22">
        <v>7714.3397472453144</v>
      </c>
      <c r="U22">
        <v>7930.0911303899047</v>
      </c>
    </row>
    <row r="23" spans="1:21">
      <c r="A23" t="s">
        <v>32</v>
      </c>
      <c r="B23" t="s">
        <v>33</v>
      </c>
      <c r="C23" t="s">
        <v>22</v>
      </c>
      <c r="D23">
        <v>2384000</v>
      </c>
      <c r="E23">
        <v>2726000</v>
      </c>
      <c r="F23">
        <v>3457000</v>
      </c>
      <c r="G23">
        <v>3919000</v>
      </c>
      <c r="H23">
        <v>4447000</v>
      </c>
      <c r="I23">
        <v>5082000</v>
      </c>
      <c r="J23">
        <v>5283000</v>
      </c>
      <c r="K23">
        <v>5168000</v>
      </c>
      <c r="L23">
        <v>5776000</v>
      </c>
      <c r="M23">
        <v>6309000</v>
      </c>
      <c r="N23">
        <v>6578000</v>
      </c>
      <c r="O23">
        <v>6968000</v>
      </c>
      <c r="P23">
        <v>13107000</v>
      </c>
      <c r="Q23">
        <v>13284000</v>
      </c>
      <c r="R23">
        <v>14570000</v>
      </c>
      <c r="S23">
        <v>15543000</v>
      </c>
      <c r="T23">
        <v>17423000</v>
      </c>
      <c r="U23">
        <v>17914000</v>
      </c>
    </row>
    <row r="24" spans="1:21">
      <c r="A24" t="s">
        <v>32</v>
      </c>
      <c r="B24" t="s">
        <v>33</v>
      </c>
      <c r="C24" t="s">
        <v>23</v>
      </c>
      <c r="D24">
        <v>-1.21066498756409</v>
      </c>
      <c r="E24">
        <v>-1.5099970102310201</v>
      </c>
      <c r="F24">
        <v>-1.2804329395294201</v>
      </c>
      <c r="G24">
        <v>-1.0138804912567101</v>
      </c>
      <c r="H24">
        <v>-1.0651842355728101</v>
      </c>
      <c r="I24">
        <v>-1.15429580211639</v>
      </c>
      <c r="J24">
        <v>-1.10970735549927</v>
      </c>
      <c r="K24">
        <v>-1.3555479049682599</v>
      </c>
      <c r="L24">
        <v>-1.2779844999313399</v>
      </c>
      <c r="M24">
        <v>-1.3267953395843499</v>
      </c>
      <c r="N24">
        <v>-1.2893098592758201</v>
      </c>
      <c r="O24">
        <v>-1.2291741371154801</v>
      </c>
      <c r="P24">
        <v>-0.99791198968887296</v>
      </c>
      <c r="Q24">
        <v>-0.95477354526519798</v>
      </c>
      <c r="R24">
        <v>-0.96042650938034102</v>
      </c>
      <c r="S24">
        <v>-0.77409911155700695</v>
      </c>
      <c r="T24">
        <v>-0.99770677089691195</v>
      </c>
      <c r="U24">
        <v>-0.79684698581695601</v>
      </c>
    </row>
    <row r="25" spans="1:21">
      <c r="A25" t="s">
        <v>32</v>
      </c>
      <c r="B25" t="s">
        <v>33</v>
      </c>
      <c r="C25" t="s">
        <v>24</v>
      </c>
      <c r="D25">
        <v>48.610319166666699</v>
      </c>
      <c r="E25">
        <v>46.583284166666701</v>
      </c>
      <c r="F25">
        <v>45.316466666666599</v>
      </c>
      <c r="G25">
        <v>44.099975000000001</v>
      </c>
      <c r="H25">
        <v>45.3070083333333</v>
      </c>
      <c r="I25">
        <v>41.3485333333333</v>
      </c>
      <c r="J25">
        <v>43.505183333333299</v>
      </c>
      <c r="K25">
        <v>48.405266666666598</v>
      </c>
      <c r="L25">
        <v>45.725812121212101</v>
      </c>
      <c r="M25">
        <v>46.670466666666698</v>
      </c>
      <c r="N25">
        <v>53.437233333333303</v>
      </c>
      <c r="O25">
        <v>58.597845416666701</v>
      </c>
      <c r="P25">
        <v>61.029514460784299</v>
      </c>
      <c r="Q25">
        <v>64.151944463278596</v>
      </c>
      <c r="R25">
        <v>67.195312807389399</v>
      </c>
      <c r="S25">
        <v>65.121568645065906</v>
      </c>
      <c r="T25">
        <v>68.389467093542194</v>
      </c>
      <c r="U25">
        <v>70.420340535955106</v>
      </c>
    </row>
    <row r="26" spans="1:21">
      <c r="A26" t="e">
        <f>#REF!</f>
        <v>#REF!</v>
      </c>
      <c r="B26" t="s">
        <v>33</v>
      </c>
      <c r="C26" t="str">
        <f>'Rule of Law'!C114</f>
        <v>Rule of Law: Estimate</v>
      </c>
      <c r="D26">
        <f>'Rule of Law'!AU114</f>
        <v>-1.7395870760083199E-2</v>
      </c>
      <c r="E26">
        <f>'Rule of Law'!AV114</f>
        <v>0.120161645114422</v>
      </c>
      <c r="F26">
        <f>'Rule of Law'!AW114</f>
        <v>5.33560588955879E-2</v>
      </c>
      <c r="G26">
        <f>'Rule of Law'!AX114</f>
        <v>0.13313016295433</v>
      </c>
      <c r="H26">
        <f>'Rule of Law'!AY114</f>
        <v>0.17898961901664701</v>
      </c>
      <c r="I26">
        <f>'Rule of Law'!AZ114</f>
        <v>9.6898160874843597E-2</v>
      </c>
      <c r="J26">
        <f>'Rule of Law'!BA114</f>
        <v>9.5850460231304196E-2</v>
      </c>
      <c r="K26">
        <f>'Rule of Law'!BB114</f>
        <v>1.79808251559734E-2</v>
      </c>
      <c r="L26">
        <f>'Rule of Law'!BC114</f>
        <v>-3.5810820758342701E-2</v>
      </c>
      <c r="M26">
        <f>'Rule of Law'!BD114</f>
        <v>-8.6297139525413499E-2</v>
      </c>
      <c r="N26">
        <f>'Rule of Law'!BE114</f>
        <v>-6.2880747020244598E-2</v>
      </c>
      <c r="O26">
        <f>'Rule of Law'!BF114</f>
        <v>-4.5892599970102303E-2</v>
      </c>
      <c r="P26">
        <f>'Rule of Law'!BG114</f>
        <v>-6.9189384579658494E-2</v>
      </c>
      <c r="Q26">
        <f>'Rule of Law'!BH114</f>
        <v>-7.0721104741096497E-2</v>
      </c>
      <c r="R26">
        <f>'Rule of Law'!BI114</f>
        <v>-5.6153856217861203E-2</v>
      </c>
      <c r="S26">
        <f>'Rule of Law'!BJ114</f>
        <v>-2.9750088229775401E-2</v>
      </c>
      <c r="T26">
        <f>'Rule of Law'!BK114</f>
        <v>-1.42208894249052E-3</v>
      </c>
      <c r="U26">
        <f>'Rule of Law'!BL114</f>
        <v>-6.7227154970169095E-2</v>
      </c>
    </row>
    <row r="27" spans="1:21">
      <c r="A27" t="s">
        <v>44</v>
      </c>
      <c r="B27" t="s">
        <v>34</v>
      </c>
      <c r="C27" t="s">
        <v>21</v>
      </c>
      <c r="D27">
        <v>11788.895021741489</v>
      </c>
      <c r="E27">
        <v>12666.201161351726</v>
      </c>
      <c r="F27">
        <v>12935.785908713799</v>
      </c>
      <c r="G27">
        <v>13056.249937375216</v>
      </c>
      <c r="H27">
        <v>13416.841505678098</v>
      </c>
      <c r="I27">
        <v>14275.748798483361</v>
      </c>
      <c r="J27">
        <v>14138.801046813569</v>
      </c>
      <c r="K27">
        <v>14104.978303562817</v>
      </c>
      <c r="L27">
        <v>14737.155848090646</v>
      </c>
      <c r="M27">
        <v>14941.259488740892</v>
      </c>
      <c r="N27">
        <v>14202.550764188934</v>
      </c>
      <c r="O27">
        <v>13804.791296975449</v>
      </c>
      <c r="P27">
        <v>14299.571772980786</v>
      </c>
      <c r="Q27">
        <v>13905.19211724866</v>
      </c>
      <c r="R27">
        <v>14915.594120929865</v>
      </c>
      <c r="S27">
        <v>15108.109412189622</v>
      </c>
      <c r="T27">
        <v>14642.497571362794</v>
      </c>
      <c r="U27">
        <v>14040.664653207174</v>
      </c>
    </row>
    <row r="28" spans="1:21">
      <c r="A28" t="s">
        <v>44</v>
      </c>
      <c r="B28" t="s">
        <v>34</v>
      </c>
      <c r="C28" t="s">
        <v>22</v>
      </c>
      <c r="D28">
        <v>1585000</v>
      </c>
      <c r="E28">
        <v>1546000</v>
      </c>
      <c r="F28">
        <v>1659000</v>
      </c>
      <c r="G28">
        <v>1889000</v>
      </c>
      <c r="H28">
        <v>2735000</v>
      </c>
      <c r="I28">
        <v>2219000</v>
      </c>
      <c r="J28">
        <v>2034000</v>
      </c>
      <c r="K28">
        <v>2116000</v>
      </c>
      <c r="L28">
        <v>2938000</v>
      </c>
      <c r="M28">
        <v>3354000</v>
      </c>
      <c r="N28">
        <v>3834000</v>
      </c>
      <c r="O28">
        <v>4769000</v>
      </c>
      <c r="P28">
        <v>4968000</v>
      </c>
      <c r="Q28">
        <v>5237000</v>
      </c>
      <c r="R28">
        <v>4942000</v>
      </c>
      <c r="S28">
        <v>4867000</v>
      </c>
      <c r="T28">
        <v>7295000</v>
      </c>
      <c r="U28">
        <v>9107000</v>
      </c>
    </row>
    <row r="29" spans="1:21">
      <c r="A29" t="s">
        <v>44</v>
      </c>
      <c r="B29" t="s">
        <v>34</v>
      </c>
      <c r="C29" t="s">
        <v>23</v>
      </c>
      <c r="D29">
        <v>-0.77344059944152799</v>
      </c>
      <c r="E29">
        <v>-0.77973318099975597</v>
      </c>
      <c r="F29">
        <v>-0.76182430982589699</v>
      </c>
      <c r="G29">
        <v>-0.78273886442184404</v>
      </c>
      <c r="H29">
        <v>-1.0408400297164899</v>
      </c>
      <c r="I29">
        <v>-0.93164044618606601</v>
      </c>
      <c r="J29">
        <v>-0.939874708652496</v>
      </c>
      <c r="K29">
        <v>-1.56424200534821</v>
      </c>
      <c r="L29">
        <v>-1.63059186935425</v>
      </c>
      <c r="M29">
        <v>-1.4217677116394001</v>
      </c>
      <c r="N29">
        <v>-1.3239260911941499</v>
      </c>
      <c r="O29">
        <v>-1.2496865987777701</v>
      </c>
      <c r="P29">
        <v>-0.87498766183853105</v>
      </c>
      <c r="Q29">
        <v>-0.92484688758850098</v>
      </c>
      <c r="R29">
        <v>-0.81402063369750999</v>
      </c>
      <c r="S29">
        <v>-0.93382889032363903</v>
      </c>
      <c r="T29">
        <v>-1.34218072891235</v>
      </c>
      <c r="U29">
        <v>-1.7115340232849101</v>
      </c>
    </row>
    <row r="30" spans="1:21">
      <c r="A30" t="s">
        <v>44</v>
      </c>
      <c r="B30" t="s">
        <v>34</v>
      </c>
      <c r="C30" t="s">
        <v>24</v>
      </c>
      <c r="D30">
        <v>6907.0344556165301</v>
      </c>
      <c r="E30">
        <v>8193.8875191666702</v>
      </c>
      <c r="F30">
        <v>8613.9894207500001</v>
      </c>
      <c r="G30">
        <v>8963.9589066666704</v>
      </c>
      <c r="H30">
        <v>9170.9428774999997</v>
      </c>
      <c r="I30">
        <v>9281.1518283333407</v>
      </c>
      <c r="J30">
        <v>9428.5282608333291</v>
      </c>
      <c r="K30">
        <v>9864.3024562682094</v>
      </c>
      <c r="L30">
        <v>10254.176470289</v>
      </c>
      <c r="M30">
        <v>10616.306643907599</v>
      </c>
      <c r="N30">
        <v>12175.5472222222</v>
      </c>
      <c r="O30">
        <v>18414.448010037398</v>
      </c>
      <c r="P30">
        <v>25941.664144597202</v>
      </c>
      <c r="Q30">
        <v>29011.491377052898</v>
      </c>
      <c r="R30">
        <v>30914.8524362967</v>
      </c>
      <c r="S30">
        <v>33226.298152412703</v>
      </c>
      <c r="T30">
        <v>40864.329009777</v>
      </c>
      <c r="U30">
        <v>42000</v>
      </c>
    </row>
    <row r="31" spans="1:21">
      <c r="A31" t="s">
        <v>44</v>
      </c>
      <c r="B31" t="s">
        <v>34</v>
      </c>
      <c r="C31" t="str">
        <f>'Rule of Law'!C117</f>
        <v>Rule of Law: Estimate</v>
      </c>
      <c r="D31">
        <f>'Rule of Law'!AU117</f>
        <v>-0.82177770137786899</v>
      </c>
      <c r="E31">
        <f>'Rule of Law'!AV117</f>
        <v>-0.68051576614379905</v>
      </c>
      <c r="F31">
        <f>'Rule of Law'!AW117</f>
        <v>-0.67358148097991899</v>
      </c>
      <c r="G31">
        <f>'Rule of Law'!AX117</f>
        <v>-0.86580431461334195</v>
      </c>
      <c r="H31">
        <f>'Rule of Law'!AY117</f>
        <v>-0.99435615539550803</v>
      </c>
      <c r="I31">
        <f>'Rule of Law'!AZ117</f>
        <v>-1.0274518728256199</v>
      </c>
      <c r="J31">
        <f>'Rule of Law'!BA117</f>
        <v>-0.97846394777297996</v>
      </c>
      <c r="K31">
        <f>'Rule of Law'!BB117</f>
        <v>-1.05367839336395</v>
      </c>
      <c r="L31">
        <f>'Rule of Law'!BC117</f>
        <v>-1.0266642570495601</v>
      </c>
      <c r="M31">
        <f>'Rule of Law'!BD117</f>
        <v>-0.96778708696365401</v>
      </c>
      <c r="N31">
        <f>'Rule of Law'!BE117</f>
        <v>-0.91865378618240401</v>
      </c>
      <c r="O31">
        <f>'Rule of Law'!BF117</f>
        <v>-0.99706715345382702</v>
      </c>
      <c r="P31">
        <f>'Rule of Law'!BG117</f>
        <v>-1.05286180973053</v>
      </c>
      <c r="Q31">
        <f>'Rule of Law'!BH117</f>
        <v>-0.94035494327545199</v>
      </c>
      <c r="R31">
        <f>'Rule of Law'!BI117</f>
        <v>-0.69597756862640403</v>
      </c>
      <c r="S31">
        <f>'Rule of Law'!BJ117</f>
        <v>-0.70252662897109996</v>
      </c>
      <c r="T31">
        <f>'Rule of Law'!BK117</f>
        <v>-0.71285921335220304</v>
      </c>
      <c r="U31">
        <f>'Rule of Law'!BL117</f>
        <v>-0.771478950977325</v>
      </c>
    </row>
    <row r="32" spans="1:21">
      <c r="A32" t="s">
        <v>35</v>
      </c>
      <c r="B32" t="s">
        <v>36</v>
      </c>
      <c r="C32" t="s">
        <v>21</v>
      </c>
      <c r="D32">
        <v>51396.85885514984</v>
      </c>
      <c r="E32">
        <v>51202.957951226934</v>
      </c>
      <c r="F32">
        <v>51622.525164409722</v>
      </c>
      <c r="G32">
        <v>51761.126347844947</v>
      </c>
      <c r="H32">
        <v>52534.422592553768</v>
      </c>
      <c r="I32">
        <v>53034.16468746763</v>
      </c>
      <c r="J32">
        <v>52144.960649241606</v>
      </c>
      <c r="K32">
        <v>49154.126400441739</v>
      </c>
      <c r="L32">
        <v>49752.475129325256</v>
      </c>
      <c r="M32">
        <v>50012.400775491944</v>
      </c>
      <c r="N32">
        <v>48318.978567680184</v>
      </c>
      <c r="O32">
        <v>46893.747980766791</v>
      </c>
      <c r="P32">
        <v>46464.818916457465</v>
      </c>
      <c r="Q32">
        <v>46921.542164417231</v>
      </c>
      <c r="R32">
        <v>47582.362404031112</v>
      </c>
      <c r="S32">
        <v>48417.946056996865</v>
      </c>
      <c r="T32">
        <v>48911.065272402513</v>
      </c>
      <c r="U32">
        <v>49690.629863473259</v>
      </c>
    </row>
    <row r="33" spans="1:21">
      <c r="A33" t="s">
        <v>35</v>
      </c>
      <c r="B33" t="s">
        <v>36</v>
      </c>
      <c r="C33" t="s">
        <v>22</v>
      </c>
      <c r="D33">
        <v>63561000</v>
      </c>
      <c r="E33">
        <v>63026000</v>
      </c>
      <c r="F33">
        <v>58480000</v>
      </c>
      <c r="G33">
        <v>59230000</v>
      </c>
      <c r="H33">
        <v>66353000</v>
      </c>
      <c r="I33">
        <v>70271000</v>
      </c>
      <c r="J33">
        <v>70719000</v>
      </c>
      <c r="K33">
        <v>71692000</v>
      </c>
      <c r="L33">
        <v>73225000</v>
      </c>
      <c r="M33">
        <v>75866000</v>
      </c>
      <c r="N33">
        <v>76293000</v>
      </c>
      <c r="O33">
        <v>76762000</v>
      </c>
      <c r="P33">
        <v>77694000</v>
      </c>
      <c r="Q33">
        <v>81068000</v>
      </c>
      <c r="R33">
        <v>84925000</v>
      </c>
      <c r="S33">
        <v>89931000</v>
      </c>
      <c r="T33">
        <v>93228601.5625</v>
      </c>
      <c r="U33">
        <v>95399000</v>
      </c>
    </row>
    <row r="34" spans="1:21">
      <c r="A34" t="s">
        <v>35</v>
      </c>
      <c r="B34" t="s">
        <v>36</v>
      </c>
      <c r="C34" t="s">
        <v>23</v>
      </c>
      <c r="D34">
        <v>0.83842980861663796</v>
      </c>
      <c r="E34">
        <v>0.43148833513259899</v>
      </c>
      <c r="F34">
        <v>0.26925769448280301</v>
      </c>
      <c r="G34">
        <v>0.48911553621292098</v>
      </c>
      <c r="H34">
        <v>0.53073376417160001</v>
      </c>
      <c r="I34">
        <v>0.446970045566559</v>
      </c>
      <c r="J34">
        <v>0.54754424095153797</v>
      </c>
      <c r="K34">
        <v>0.346905887126923</v>
      </c>
      <c r="L34">
        <v>0.47392368316650402</v>
      </c>
      <c r="M34">
        <v>0.50120741128921498</v>
      </c>
      <c r="N34">
        <v>0.508217513561249</v>
      </c>
      <c r="O34">
        <v>0.49549919366836498</v>
      </c>
      <c r="P34">
        <v>0.45816540718078602</v>
      </c>
      <c r="Q34">
        <v>0.36325719952583302</v>
      </c>
      <c r="R34">
        <v>0.355933427810669</v>
      </c>
      <c r="S34">
        <v>0.292910486459732</v>
      </c>
      <c r="T34">
        <v>0.326271682977676</v>
      </c>
      <c r="U34">
        <v>0.38111427426338201</v>
      </c>
    </row>
    <row r="35" spans="1:21">
      <c r="A35" t="s">
        <v>35</v>
      </c>
      <c r="B35" t="s">
        <v>36</v>
      </c>
      <c r="C35" t="s">
        <v>24</v>
      </c>
      <c r="D35">
        <v>1.0575589962396501</v>
      </c>
      <c r="E35">
        <v>0.88404792718492997</v>
      </c>
      <c r="F35">
        <v>0.80392164774761798</v>
      </c>
      <c r="G35">
        <v>0.80380019216144205</v>
      </c>
      <c r="H35">
        <v>0.79643273094910205</v>
      </c>
      <c r="I35">
        <v>0.72967239998408295</v>
      </c>
      <c r="J35">
        <v>0.67992268004272904</v>
      </c>
      <c r="K35">
        <v>0.71695770201613596</v>
      </c>
      <c r="L35">
        <v>0.75430899010596097</v>
      </c>
      <c r="M35">
        <v>0.71841389865331695</v>
      </c>
      <c r="N35">
        <v>0.77833812041681205</v>
      </c>
      <c r="O35">
        <v>0.75294512270199598</v>
      </c>
      <c r="P35">
        <v>0.75272819693260296</v>
      </c>
      <c r="Q35">
        <v>0.90129642336709603</v>
      </c>
      <c r="R35">
        <v>0.90342143625726301</v>
      </c>
      <c r="S35">
        <v>0.88520550826937205</v>
      </c>
      <c r="T35">
        <v>0.84677266710811105</v>
      </c>
      <c r="U35">
        <v>0.89327625706740899</v>
      </c>
    </row>
    <row r="36" spans="1:21">
      <c r="A36" t="s">
        <v>35</v>
      </c>
      <c r="B36" t="s">
        <v>36</v>
      </c>
      <c r="C36" t="str">
        <f>'Rule of Law'!C121</f>
        <v>Rule of Law: Estimate</v>
      </c>
      <c r="D36">
        <f>'Rule of Law'!AU121</f>
        <v>0.74014198780059803</v>
      </c>
      <c r="E36">
        <f>'Rule of Law'!AV121</f>
        <v>0.68842989206314098</v>
      </c>
      <c r="F36">
        <f>'Rule of Law'!AW121</f>
        <v>0.59000390768051103</v>
      </c>
      <c r="G36">
        <f>'Rule of Law'!AX121</f>
        <v>0.50924301147460904</v>
      </c>
      <c r="H36">
        <f>'Rule of Law'!AY121</f>
        <v>0.37900638580322299</v>
      </c>
      <c r="I36">
        <f>'Rule of Law'!AZ121</f>
        <v>0.46754819154739402</v>
      </c>
      <c r="J36">
        <f>'Rule of Law'!BA121</f>
        <v>0.44792145490646401</v>
      </c>
      <c r="K36">
        <f>'Rule of Law'!BB121</f>
        <v>0.39914548397064198</v>
      </c>
      <c r="L36">
        <f>'Rule of Law'!BC121</f>
        <v>0.45477318763732899</v>
      </c>
      <c r="M36">
        <f>'Rule of Law'!BD121</f>
        <v>0.483442842960358</v>
      </c>
      <c r="N36">
        <f>'Rule of Law'!BE121</f>
        <v>0.42594015598297102</v>
      </c>
      <c r="O36">
        <f>'Rule of Law'!BF121</f>
        <v>0.43625941872596702</v>
      </c>
      <c r="P36">
        <f>'Rule of Law'!BG121</f>
        <v>0.42214724421501199</v>
      </c>
      <c r="Q36">
        <f>'Rule of Law'!BH121</f>
        <v>0.28835383057594299</v>
      </c>
      <c r="R36">
        <f>'Rule of Law'!BI121</f>
        <v>0.36641502380371099</v>
      </c>
      <c r="S36">
        <f>'Rule of Law'!BJ121</f>
        <v>0.31913381814956698</v>
      </c>
      <c r="T36">
        <f>'Rule of Law'!BK121</f>
        <v>0.24062387645244601</v>
      </c>
      <c r="U36">
        <f>'Rule of Law'!BL121</f>
        <v>0.27241715788841198</v>
      </c>
    </row>
    <row r="37" spans="1:21">
      <c r="A37" t="s">
        <v>37</v>
      </c>
      <c r="B37" t="s">
        <v>38</v>
      </c>
      <c r="C37" t="s">
        <v>21</v>
      </c>
      <c r="D37">
        <v>15960.873845001312</v>
      </c>
      <c r="E37">
        <v>17344.752672995</v>
      </c>
      <c r="F37">
        <v>18886.581190812161</v>
      </c>
      <c r="G37">
        <v>20565.529447086552</v>
      </c>
      <c r="H37">
        <v>22574.342957766508</v>
      </c>
      <c r="I37">
        <v>24351.346410254195</v>
      </c>
      <c r="J37">
        <v>24895.664568324533</v>
      </c>
      <c r="K37">
        <v>24901.352726008372</v>
      </c>
      <c r="L37">
        <v>26374.840767279456</v>
      </c>
      <c r="M37">
        <v>27946.160343294392</v>
      </c>
      <c r="N37">
        <v>28881.241756372758</v>
      </c>
      <c r="O37">
        <v>30177.488722173581</v>
      </c>
      <c r="P37">
        <v>30986.437916899453</v>
      </c>
      <c r="Q37">
        <v>30893.759485104136</v>
      </c>
      <c r="R37">
        <v>30758.322726059785</v>
      </c>
      <c r="S37">
        <v>31524.441633979397</v>
      </c>
      <c r="T37">
        <v>32330.22745465675</v>
      </c>
      <c r="U37">
        <v>33298.212369503453</v>
      </c>
    </row>
    <row r="38" spans="1:21">
      <c r="A38" t="s">
        <v>37</v>
      </c>
      <c r="B38" t="s">
        <v>38</v>
      </c>
      <c r="C38" t="s">
        <v>22</v>
      </c>
      <c r="D38">
        <v>3678000</v>
      </c>
      <c r="E38">
        <v>3237000</v>
      </c>
      <c r="F38">
        <v>4291000</v>
      </c>
      <c r="G38">
        <v>4365000</v>
      </c>
      <c r="H38">
        <v>4707000</v>
      </c>
      <c r="I38">
        <v>5311000</v>
      </c>
      <c r="J38">
        <v>4117000</v>
      </c>
      <c r="K38">
        <v>3774000</v>
      </c>
      <c r="L38">
        <v>4097000</v>
      </c>
      <c r="M38">
        <v>5685000</v>
      </c>
      <c r="N38">
        <v>6163000</v>
      </c>
      <c r="O38">
        <v>6841000</v>
      </c>
      <c r="P38">
        <v>6333000</v>
      </c>
      <c r="Q38">
        <v>6430000</v>
      </c>
      <c r="R38">
        <v>6509000</v>
      </c>
      <c r="S38">
        <v>7701000</v>
      </c>
      <c r="T38">
        <v>8789000</v>
      </c>
      <c r="U38">
        <v>8515000</v>
      </c>
    </row>
    <row r="39" spans="1:21">
      <c r="A39" t="s">
        <v>37</v>
      </c>
      <c r="B39" t="s">
        <v>38</v>
      </c>
      <c r="C39" t="s">
        <v>23</v>
      </c>
      <c r="D39">
        <v>0.35854917764663702</v>
      </c>
      <c r="E39">
        <v>0.35625991225242598</v>
      </c>
      <c r="F39">
        <v>7.0387974381446797E-2</v>
      </c>
      <c r="G39">
        <v>0.19063183665275599</v>
      </c>
      <c r="H39">
        <v>0.207937806844711</v>
      </c>
      <c r="I39">
        <v>0.64799678325653098</v>
      </c>
      <c r="J39">
        <v>0.62663847208023105</v>
      </c>
      <c r="K39">
        <v>0.77681624889373802</v>
      </c>
      <c r="L39">
        <v>0.52297180891036998</v>
      </c>
      <c r="M39">
        <v>-0.33857056498527499</v>
      </c>
      <c r="N39">
        <v>-0.40845501422882102</v>
      </c>
      <c r="O39">
        <v>-0.40247389674186701</v>
      </c>
      <c r="P39">
        <v>3.6018155515193898E-2</v>
      </c>
      <c r="Q39">
        <v>-3.8353074342012398E-2</v>
      </c>
      <c r="R39">
        <v>1.46297342143953E-3</v>
      </c>
      <c r="S39">
        <v>2.4349680170416801E-2</v>
      </c>
      <c r="T39">
        <v>-5.2402257919311503E-2</v>
      </c>
      <c r="U39">
        <v>-0.168037340044975</v>
      </c>
    </row>
    <row r="40" spans="1:21">
      <c r="A40" t="s">
        <v>37</v>
      </c>
      <c r="B40" t="s">
        <v>38</v>
      </c>
      <c r="C40" t="s">
        <v>24</v>
      </c>
      <c r="D40">
        <v>153.27916666666701</v>
      </c>
      <c r="E40">
        <v>149.57583333333301</v>
      </c>
      <c r="F40">
        <v>136.035</v>
      </c>
      <c r="G40">
        <v>132.88</v>
      </c>
      <c r="H40">
        <v>126.089430555555</v>
      </c>
      <c r="I40">
        <v>122.554166666667</v>
      </c>
      <c r="J40">
        <v>120.29916666666701</v>
      </c>
      <c r="K40">
        <v>147.49666666666701</v>
      </c>
      <c r="L40">
        <v>147.35499999999999</v>
      </c>
      <c r="M40">
        <v>146.620833333333</v>
      </c>
      <c r="N40">
        <v>149.11250000000001</v>
      </c>
      <c r="O40">
        <v>152.129166666667</v>
      </c>
      <c r="P40">
        <v>179.191666666667</v>
      </c>
      <c r="Q40">
        <v>221.72833333333301</v>
      </c>
      <c r="R40">
        <v>342.16</v>
      </c>
      <c r="S40">
        <v>326.00102272727298</v>
      </c>
      <c r="T40">
        <v>344.70583333333298</v>
      </c>
      <c r="U40">
        <v>382.74731060606098</v>
      </c>
    </row>
    <row r="41" spans="1:21">
      <c r="A41" t="s">
        <v>37</v>
      </c>
      <c r="B41" t="s">
        <v>38</v>
      </c>
      <c r="C41" t="str">
        <f>'Rule of Law'!C125</f>
        <v>Rule of Law: Estimate</v>
      </c>
      <c r="D41">
        <f>'Rule of Law'!AU125</f>
        <v>-1.20242607593536</v>
      </c>
      <c r="E41">
        <f>'Rule of Law'!AV125</f>
        <v>-1.09689700603485</v>
      </c>
      <c r="F41">
        <f>'Rule of Law'!AW125</f>
        <v>-1.1264673471450799</v>
      </c>
      <c r="G41">
        <f>'Rule of Law'!AX125</f>
        <v>-0.95323616266250599</v>
      </c>
      <c r="H41">
        <f>'Rule of Law'!AY125</f>
        <v>-1.1021193265914899</v>
      </c>
      <c r="I41">
        <f>'Rule of Law'!AZ125</f>
        <v>-1.0319029092788701</v>
      </c>
      <c r="J41">
        <f>'Rule of Law'!BA125</f>
        <v>-0.926385998725891</v>
      </c>
      <c r="K41">
        <f>'Rule of Law'!BB125</f>
        <v>-0.72344106435775801</v>
      </c>
      <c r="L41">
        <f>'Rule of Law'!BC125</f>
        <v>-0.69563972949981701</v>
      </c>
      <c r="M41">
        <f>'Rule of Law'!BD125</f>
        <v>-0.64163380861282304</v>
      </c>
      <c r="N41">
        <f>'Rule of Law'!BE125</f>
        <v>-0.77289903163909901</v>
      </c>
      <c r="O41">
        <f>'Rule of Law'!BF125</f>
        <v>-0.71640980243682895</v>
      </c>
      <c r="P41">
        <f>'Rule of Law'!BG125</f>
        <v>-0.60948699712753296</v>
      </c>
      <c r="Q41">
        <f>'Rule of Law'!BH125</f>
        <v>-0.51527321338653598</v>
      </c>
      <c r="R41">
        <f>'Rule of Law'!BI125</f>
        <v>-0.51314949989318803</v>
      </c>
      <c r="S41">
        <f>'Rule of Law'!BJ125</f>
        <v>-0.48727560043335</v>
      </c>
      <c r="T41">
        <f>'Rule of Law'!BK125</f>
        <v>-0.50346642732620195</v>
      </c>
      <c r="U41">
        <f>'Rule of Law'!BL125</f>
        <v>-0.51001703739166304</v>
      </c>
    </row>
    <row r="42" spans="1:21">
      <c r="A42" t="s">
        <v>45</v>
      </c>
      <c r="B42" t="s">
        <v>39</v>
      </c>
      <c r="C42" t="s">
        <v>21</v>
      </c>
      <c r="D42">
        <v>3760.5323996525699</v>
      </c>
      <c r="E42">
        <v>3982.9272201780163</v>
      </c>
      <c r="F42">
        <v>4211.5228955917628</v>
      </c>
      <c r="G42">
        <v>4156.9588949012705</v>
      </c>
      <c r="H42">
        <v>4240.1701779755431</v>
      </c>
      <c r="I42">
        <v>4558.7131115897801</v>
      </c>
      <c r="J42">
        <v>4894.9427801376032</v>
      </c>
      <c r="K42">
        <v>4969.9613272037359</v>
      </c>
      <c r="L42">
        <v>4876.4796488648326</v>
      </c>
      <c r="M42">
        <v>5092.8521166146056</v>
      </c>
      <c r="N42">
        <v>4993.394316835278</v>
      </c>
      <c r="O42">
        <v>5418.5406199393456</v>
      </c>
      <c r="P42">
        <v>5513.7549363298795</v>
      </c>
      <c r="Q42">
        <v>5600.2147978757803</v>
      </c>
      <c r="R42">
        <v>5715.0108745186217</v>
      </c>
      <c r="S42">
        <v>5861.2224650875269</v>
      </c>
      <c r="T42">
        <v>5951.8292293920986</v>
      </c>
      <c r="U42">
        <v>6087.6019382692702</v>
      </c>
    </row>
    <row r="43" spans="1:21">
      <c r="A43" t="s">
        <v>45</v>
      </c>
      <c r="B43" t="s">
        <v>39</v>
      </c>
      <c r="C43" t="s">
        <v>22</v>
      </c>
      <c r="D43">
        <v>183000</v>
      </c>
      <c r="E43">
        <v>342000</v>
      </c>
      <c r="F43">
        <v>398000</v>
      </c>
      <c r="G43">
        <v>319000</v>
      </c>
      <c r="H43">
        <v>766000</v>
      </c>
      <c r="I43">
        <v>1656000</v>
      </c>
      <c r="J43">
        <v>2379000</v>
      </c>
      <c r="K43">
        <v>2451000</v>
      </c>
      <c r="L43">
        <v>1224000</v>
      </c>
      <c r="M43">
        <v>3025000</v>
      </c>
      <c r="N43">
        <v>3393000</v>
      </c>
      <c r="O43">
        <v>4134000</v>
      </c>
      <c r="P43">
        <v>3791000</v>
      </c>
      <c r="Q43">
        <v>4000000</v>
      </c>
      <c r="R43">
        <v>3853000</v>
      </c>
      <c r="S43">
        <v>4568000</v>
      </c>
      <c r="T43">
        <v>6947000</v>
      </c>
      <c r="U43">
        <v>8508000</v>
      </c>
    </row>
    <row r="44" spans="1:21">
      <c r="A44" t="s">
        <v>45</v>
      </c>
      <c r="B44" t="s">
        <v>39</v>
      </c>
      <c r="C44" t="s">
        <v>23</v>
      </c>
      <c r="D44">
        <v>-0.61473059654235795</v>
      </c>
      <c r="E44">
        <v>-1.09949171543121</v>
      </c>
      <c r="F44">
        <v>-1.18346691131592</v>
      </c>
      <c r="G44">
        <v>-1.1744259595871001</v>
      </c>
      <c r="H44">
        <v>-1.38557076454163</v>
      </c>
      <c r="I44">
        <v>-0.99026048183441195</v>
      </c>
      <c r="J44">
        <v>-0.567302405834198</v>
      </c>
      <c r="K44">
        <v>-0.62296938896179199</v>
      </c>
      <c r="L44">
        <v>-1.0396523475646999</v>
      </c>
      <c r="M44">
        <v>-1.0980306863784799</v>
      </c>
      <c r="N44">
        <v>-0.91125136613845803</v>
      </c>
      <c r="O44">
        <v>-0.91177380084991499</v>
      </c>
      <c r="P44">
        <v>-0.80461567640304599</v>
      </c>
      <c r="Q44">
        <v>-0.882429659366608</v>
      </c>
      <c r="R44">
        <v>-0.65201967954635598</v>
      </c>
      <c r="S44">
        <v>-0.362505912780762</v>
      </c>
      <c r="T44">
        <v>-0.52971208095550504</v>
      </c>
      <c r="U44">
        <v>-0.26556807756424</v>
      </c>
    </row>
    <row r="45" spans="1:21">
      <c r="A45" t="s">
        <v>45</v>
      </c>
      <c r="B45" t="s">
        <v>39</v>
      </c>
      <c r="C45" t="s">
        <v>24</v>
      </c>
      <c r="D45">
        <v>46.937066666666702</v>
      </c>
      <c r="E45">
        <v>43.648375000000001</v>
      </c>
      <c r="F45">
        <v>42.649941666666699</v>
      </c>
      <c r="G45">
        <v>41.0118205059348</v>
      </c>
      <c r="H45">
        <v>40.152899945420501</v>
      </c>
      <c r="I45">
        <v>37.316256805555597</v>
      </c>
      <c r="J45">
        <v>36.574591666666699</v>
      </c>
      <c r="K45">
        <v>42.904108333333298</v>
      </c>
      <c r="L45">
        <v>45.964261400813903</v>
      </c>
      <c r="M45">
        <v>46.143901317204303</v>
      </c>
      <c r="N45">
        <v>47.004479142256798</v>
      </c>
      <c r="O45">
        <v>48.438059008772598</v>
      </c>
      <c r="P45">
        <v>53.654058312852001</v>
      </c>
      <c r="Q45">
        <v>64.462108272529406</v>
      </c>
      <c r="R45">
        <v>69.914065825299701</v>
      </c>
      <c r="S45">
        <v>68.866667859063</v>
      </c>
      <c r="T45">
        <v>68.840320327700994</v>
      </c>
      <c r="U45">
        <v>69.789349180747607</v>
      </c>
    </row>
    <row r="46" spans="1:21">
      <c r="A46" t="s">
        <v>45</v>
      </c>
      <c r="B46" t="s">
        <v>39</v>
      </c>
      <c r="C46" t="str">
        <f>'Rule of Law'!C127</f>
        <v>Rule of Law: Estimate</v>
      </c>
      <c r="D46">
        <f>'Rule of Law'!AU127</f>
        <v>-0.85391426086425803</v>
      </c>
      <c r="E46">
        <f>'Rule of Law'!AV127</f>
        <v>-0.76016002893447898</v>
      </c>
      <c r="F46">
        <f>'Rule of Law'!AW127</f>
        <v>-0.79316699504852295</v>
      </c>
      <c r="G46">
        <f>'Rule of Law'!AX127</f>
        <v>-1.1232408285141</v>
      </c>
      <c r="H46">
        <f>'Rule of Law'!AY127</f>
        <v>-1.31729280948639</v>
      </c>
      <c r="I46">
        <f>'Rule of Law'!AZ127</f>
        <v>-1.3219470977783201</v>
      </c>
      <c r="J46">
        <f>'Rule of Law'!BA127</f>
        <v>-1.3829139471054099</v>
      </c>
      <c r="K46">
        <f>'Rule of Law'!BB127</f>
        <v>-1.3297537565231301</v>
      </c>
      <c r="L46">
        <f>'Rule of Law'!BC127</f>
        <v>-1.2694574594497701</v>
      </c>
      <c r="M46">
        <f>'Rule of Law'!BD127</f>
        <v>-1.19611263275146</v>
      </c>
      <c r="N46">
        <f>'Rule of Law'!BE127</f>
        <v>-1.1348477602005</v>
      </c>
      <c r="O46">
        <f>'Rule of Law'!BF127</f>
        <v>-1.1153327226638801</v>
      </c>
      <c r="P46">
        <f>'Rule of Law'!BG127</f>
        <v>-0.93623667955398604</v>
      </c>
      <c r="Q46">
        <f>'Rule of Law'!BH127</f>
        <v>-1.0145168304443399</v>
      </c>
      <c r="R46">
        <f>'Rule of Law'!BI127</f>
        <v>-1.04514920711517</v>
      </c>
      <c r="S46">
        <f>'Rule of Law'!BJ127</f>
        <v>-0.94707208871841397</v>
      </c>
      <c r="T46">
        <f>'Rule of Law'!BK127</f>
        <v>-0.92870146036148105</v>
      </c>
      <c r="U46">
        <f>'Rule of Law'!BL127</f>
        <v>-0.91463732719421398</v>
      </c>
    </row>
    <row r="47" spans="1:21">
      <c r="A47" t="s">
        <v>40</v>
      </c>
      <c r="B47" t="s">
        <v>41</v>
      </c>
      <c r="C47" t="s">
        <v>21</v>
      </c>
      <c r="D47">
        <v>46435.481435524205</v>
      </c>
      <c r="E47">
        <v>48152.597429719855</v>
      </c>
      <c r="F47">
        <v>49961.167002358183</v>
      </c>
      <c r="G47">
        <v>50638.950583661041</v>
      </c>
      <c r="H47">
        <v>50124.521003299487</v>
      </c>
      <c r="I47">
        <v>49151.656143636719</v>
      </c>
      <c r="J47">
        <v>50155.834022789735</v>
      </c>
      <c r="K47">
        <v>47715.748046774963</v>
      </c>
      <c r="L47">
        <v>50620.292065986854</v>
      </c>
      <c r="M47">
        <v>53692.301026063258</v>
      </c>
      <c r="N47">
        <v>54267.213286790335</v>
      </c>
      <c r="O47">
        <v>52711.686202581273</v>
      </c>
      <c r="P47">
        <v>53396.152427741283</v>
      </c>
      <c r="Q47">
        <v>52983.137763745268</v>
      </c>
      <c r="R47">
        <v>51997.342678426889</v>
      </c>
      <c r="S47">
        <v>52431.839232308084</v>
      </c>
      <c r="T47">
        <v>55508.873058912577</v>
      </c>
      <c r="U47">
        <v>56365.508553313353</v>
      </c>
    </row>
    <row r="48" spans="1:21">
      <c r="A48" t="s">
        <v>40</v>
      </c>
      <c r="B48" t="s">
        <v>41</v>
      </c>
      <c r="C48" t="s">
        <v>22</v>
      </c>
      <c r="D48" s="9">
        <v>7511000</v>
      </c>
      <c r="E48" s="10">
        <v>7330000</v>
      </c>
      <c r="F48">
        <v>11083000</v>
      </c>
      <c r="G48">
        <v>10417000</v>
      </c>
      <c r="H48">
        <v>10962000</v>
      </c>
      <c r="I48">
        <v>13479000</v>
      </c>
      <c r="J48">
        <v>17717000</v>
      </c>
      <c r="K48">
        <v>13319000</v>
      </c>
      <c r="L48">
        <v>13025000</v>
      </c>
      <c r="M48">
        <v>15776000</v>
      </c>
      <c r="N48">
        <v>19847000</v>
      </c>
      <c r="O48">
        <v>19934000</v>
      </c>
      <c r="P48">
        <v>23010000</v>
      </c>
      <c r="Q48">
        <v>21834000</v>
      </c>
      <c r="R48">
        <v>20887000</v>
      </c>
      <c r="S48">
        <v>18607000</v>
      </c>
      <c r="T48">
        <v>17570000</v>
      </c>
      <c r="U48">
        <v>20292000</v>
      </c>
    </row>
    <row r="49" spans="1:21">
      <c r="A49" t="s">
        <v>40</v>
      </c>
      <c r="B49" t="s">
        <v>41</v>
      </c>
      <c r="C49" t="s">
        <v>23</v>
      </c>
      <c r="D49">
        <v>2.42432416416705E-3</v>
      </c>
      <c r="E49">
        <v>0.141017645597458</v>
      </c>
      <c r="F49">
        <v>-0.65463250875473</v>
      </c>
      <c r="G49">
        <v>-0.24061401188373599</v>
      </c>
      <c r="H49">
        <v>-0.52242380380630504</v>
      </c>
      <c r="I49">
        <v>-0.46730524301528897</v>
      </c>
      <c r="J49">
        <v>-0.33652442693710299</v>
      </c>
      <c r="K49">
        <v>-0.49253523349762002</v>
      </c>
      <c r="L49">
        <v>-0.226726979017258</v>
      </c>
      <c r="M49">
        <v>-0.46479964256286599</v>
      </c>
      <c r="N49">
        <v>-0.48068824410438499</v>
      </c>
      <c r="O49">
        <v>-0.43178412318229697</v>
      </c>
      <c r="P49">
        <v>-0.28584465384483299</v>
      </c>
      <c r="Q49">
        <v>-0.63438719511032104</v>
      </c>
      <c r="R49">
        <v>-0.47277110815048201</v>
      </c>
      <c r="S49">
        <v>-0.64962571859359697</v>
      </c>
      <c r="T49">
        <v>-0.66098761558532704</v>
      </c>
      <c r="U49">
        <v>-0.62404739856720004</v>
      </c>
    </row>
    <row r="50" spans="1:21">
      <c r="A50" t="s">
        <v>40</v>
      </c>
      <c r="B50" t="s">
        <v>41</v>
      </c>
      <c r="C50" t="s">
        <v>24</v>
      </c>
      <c r="D50">
        <v>3.75</v>
      </c>
      <c r="E50">
        <v>3.75</v>
      </c>
      <c r="F50">
        <v>3.75</v>
      </c>
      <c r="G50">
        <v>3.75</v>
      </c>
      <c r="H50">
        <v>3.75</v>
      </c>
      <c r="I50">
        <v>3.75</v>
      </c>
      <c r="J50">
        <v>3.75</v>
      </c>
      <c r="K50">
        <v>3.75</v>
      </c>
      <c r="L50">
        <v>3.75</v>
      </c>
      <c r="M50">
        <v>3.75</v>
      </c>
      <c r="N50">
        <v>3.75</v>
      </c>
      <c r="O50">
        <v>3.75</v>
      </c>
      <c r="P50">
        <v>3.75</v>
      </c>
      <c r="Q50">
        <v>3.75</v>
      </c>
      <c r="R50">
        <v>3.75</v>
      </c>
      <c r="S50">
        <v>3.75</v>
      </c>
      <c r="T50">
        <v>3.75</v>
      </c>
      <c r="U50">
        <v>3.75</v>
      </c>
    </row>
    <row r="51" spans="1:21">
      <c r="A51" t="s">
        <v>40</v>
      </c>
      <c r="B51" t="s">
        <v>41</v>
      </c>
      <c r="C51" t="str">
        <f>'Rule of Law'!C210</f>
        <v>Rule of Law: Estimate</v>
      </c>
      <c r="D51">
        <f>'Rule of Law'!AU210</f>
        <v>-1.7828591167926799E-2</v>
      </c>
      <c r="E51">
        <f>'Rule of Law'!AV210</f>
        <v>0.10894649475812899</v>
      </c>
      <c r="F51">
        <f>'Rule of Law'!AW210</f>
        <v>1.21128251776099E-2</v>
      </c>
      <c r="G51">
        <f>'Rule of Law'!AX210</f>
        <v>-2.2657472640276E-2</v>
      </c>
      <c r="H51">
        <f>'Rule of Law'!AY210</f>
        <v>1.1266702786088E-2</v>
      </c>
      <c r="I51">
        <f>'Rule of Law'!AZ210</f>
        <v>6.7988209426403004E-2</v>
      </c>
      <c r="J51">
        <f>'Rule of Law'!BA210</f>
        <v>6.8728327751159696E-2</v>
      </c>
      <c r="K51">
        <f>'Rule of Law'!BB210</f>
        <v>4.51107770204544E-2</v>
      </c>
      <c r="L51">
        <f>'Rule of Law'!BC210</f>
        <v>0.14953184127807601</v>
      </c>
      <c r="M51">
        <f>'Rule of Law'!BD210</f>
        <v>4.6536326408386203E-2</v>
      </c>
      <c r="N51">
        <f>'Rule of Law'!BE210</f>
        <v>0.14434976875781999</v>
      </c>
      <c r="O51">
        <f>'Rule of Law'!BF210</f>
        <v>0.15323460102081299</v>
      </c>
      <c r="P51">
        <f>'Rule of Law'!BG210</f>
        <v>0.13271252810955</v>
      </c>
      <c r="Q51">
        <f>'Rule of Law'!BH210</f>
        <v>9.7564987838268294E-2</v>
      </c>
      <c r="R51">
        <f>'Rule of Law'!BI210</f>
        <v>0.31581962108612099</v>
      </c>
      <c r="S51">
        <f>'Rule of Law'!BJ210</f>
        <v>7.7283516526222201E-2</v>
      </c>
      <c r="T51">
        <f>'Rule of Law'!BK210</f>
        <v>0.117757342755795</v>
      </c>
      <c r="U51">
        <f>'Rule of Law'!BL210</f>
        <v>0.14525765180587799</v>
      </c>
    </row>
    <row r="52" spans="1:21">
      <c r="A52" t="s">
        <v>46</v>
      </c>
      <c r="B52" t="s">
        <v>42</v>
      </c>
      <c r="C52" t="s">
        <v>21</v>
      </c>
      <c r="D52">
        <v>14427.760862544534</v>
      </c>
      <c r="E52">
        <v>15083.135281743893</v>
      </c>
      <c r="F52">
        <v>16376.96474308773</v>
      </c>
      <c r="G52">
        <v>17659.898316170656</v>
      </c>
      <c r="H52">
        <v>18693.901038526921</v>
      </c>
      <c r="I52">
        <v>19605.167902055688</v>
      </c>
      <c r="J52">
        <v>19516.385175335792</v>
      </c>
      <c r="K52">
        <v>18320.448922056192</v>
      </c>
      <c r="L52">
        <v>19564.788895310714</v>
      </c>
      <c r="M52">
        <v>21439.069055190746</v>
      </c>
      <c r="N52">
        <v>22181.120777088738</v>
      </c>
      <c r="O52">
        <v>23756.273041748591</v>
      </c>
      <c r="P52">
        <v>24595.699058767404</v>
      </c>
      <c r="Q52">
        <v>25746.43244947492</v>
      </c>
      <c r="R52">
        <v>26246.49471183537</v>
      </c>
      <c r="S52">
        <v>27851.982002966572</v>
      </c>
      <c r="T52">
        <v>28305.461248494303</v>
      </c>
      <c r="U52">
        <v>28132.05357453593</v>
      </c>
    </row>
    <row r="53" spans="1:21">
      <c r="A53" t="s">
        <v>46</v>
      </c>
      <c r="B53" t="s">
        <v>42</v>
      </c>
      <c r="C53" t="s">
        <v>22</v>
      </c>
      <c r="D53">
        <v>13256000</v>
      </c>
      <c r="E53">
        <v>14030000</v>
      </c>
      <c r="F53">
        <v>17517000</v>
      </c>
      <c r="G53">
        <v>21125000</v>
      </c>
      <c r="H53">
        <v>19820000</v>
      </c>
      <c r="I53">
        <v>27215000</v>
      </c>
      <c r="J53">
        <v>31138000</v>
      </c>
      <c r="K53">
        <v>31760000</v>
      </c>
      <c r="L53">
        <v>32997000</v>
      </c>
      <c r="M53">
        <v>36769000</v>
      </c>
      <c r="N53">
        <v>37715000</v>
      </c>
      <c r="O53">
        <v>39861000</v>
      </c>
      <c r="P53">
        <v>41627000</v>
      </c>
      <c r="Q53">
        <v>41114000</v>
      </c>
      <c r="R53">
        <v>30907000</v>
      </c>
      <c r="S53">
        <v>37970000</v>
      </c>
      <c r="T53">
        <v>46113000</v>
      </c>
      <c r="U53">
        <v>51747000</v>
      </c>
    </row>
    <row r="54" spans="1:21">
      <c r="A54" t="s">
        <v>46</v>
      </c>
      <c r="B54" t="s">
        <v>42</v>
      </c>
      <c r="C54" t="s">
        <v>23</v>
      </c>
      <c r="D54">
        <v>-0.803475081920624</v>
      </c>
      <c r="E54">
        <v>-0.76669061183929399</v>
      </c>
      <c r="F54">
        <v>-0.83376455307006803</v>
      </c>
      <c r="G54">
        <v>-0.60155117511749301</v>
      </c>
      <c r="H54">
        <v>-0.59021300077438399</v>
      </c>
      <c r="I54">
        <v>-0.81936287879943803</v>
      </c>
      <c r="J54">
        <v>-0.82387435436248802</v>
      </c>
      <c r="K54">
        <v>-1.03079056739807</v>
      </c>
      <c r="L54">
        <v>-0.91528552770614602</v>
      </c>
      <c r="M54">
        <v>-0.959997057914734</v>
      </c>
      <c r="N54">
        <v>-1.22053194046021</v>
      </c>
      <c r="O54">
        <v>-1.24993252754211</v>
      </c>
      <c r="P54">
        <v>-1.0860359668731701</v>
      </c>
      <c r="Q54">
        <v>-1.4953097105026201</v>
      </c>
      <c r="R54">
        <v>-2.0072147846221902</v>
      </c>
      <c r="S54">
        <v>-1.78637635707855</v>
      </c>
      <c r="T54">
        <v>-1.3151998519897501</v>
      </c>
      <c r="U54">
        <v>-1.3781816959381099</v>
      </c>
    </row>
    <row r="55" spans="1:21">
      <c r="A55" t="s">
        <v>46</v>
      </c>
      <c r="B55" t="s">
        <v>42</v>
      </c>
      <c r="C55" t="s">
        <v>24</v>
      </c>
      <c r="D55">
        <v>1.50722641666667</v>
      </c>
      <c r="E55">
        <v>1.50088520858333</v>
      </c>
      <c r="F55">
        <v>1.4255372500000001</v>
      </c>
      <c r="G55">
        <v>1.3435831083333301</v>
      </c>
      <c r="H55">
        <v>1.4284534133384501</v>
      </c>
      <c r="I55">
        <v>1.3029309053379401</v>
      </c>
      <c r="J55">
        <v>1.30152170281795</v>
      </c>
      <c r="K55">
        <v>1.54995977566564</v>
      </c>
      <c r="L55">
        <v>1.5028486296723</v>
      </c>
      <c r="M55">
        <v>1.67495455197133</v>
      </c>
      <c r="N55">
        <v>1.7960009444135501</v>
      </c>
      <c r="O55">
        <v>1.90376824244752</v>
      </c>
      <c r="P55">
        <v>2.1885424177547299</v>
      </c>
      <c r="Q55">
        <v>2.72000852790578</v>
      </c>
      <c r="R55">
        <v>3.0201347480804301</v>
      </c>
      <c r="S55">
        <v>3.6481326353686701</v>
      </c>
      <c r="T55">
        <v>4.8283701472094203</v>
      </c>
      <c r="U55">
        <v>5.67381930843574</v>
      </c>
    </row>
    <row r="56" spans="1:21">
      <c r="A56" t="s">
        <v>50</v>
      </c>
      <c r="B56" t="s">
        <v>42</v>
      </c>
      <c r="C56" t="str">
        <f>'Rule of Law'!C249</f>
        <v>Rule of Law: Estimate</v>
      </c>
      <c r="D56">
        <f>'Rule of Law'!AU249</f>
        <v>-8.2183204591274303E-2</v>
      </c>
      <c r="E56">
        <f>'Rule of Law'!AV249</f>
        <v>0.103039585053921</v>
      </c>
      <c r="F56">
        <f>'Rule of Law'!AW249</f>
        <v>8.4699280560016604E-2</v>
      </c>
      <c r="G56">
        <f>'Rule of Law'!AX249</f>
        <v>0.11746855080127699</v>
      </c>
      <c r="H56">
        <f>'Rule of Law'!AY249</f>
        <v>-3.37432185187936E-3</v>
      </c>
      <c r="I56">
        <f>'Rule of Law'!AZ249</f>
        <v>-3.5805914551019703E-2</v>
      </c>
      <c r="J56">
        <f>'Rule of Law'!BA249</f>
        <v>2.28446871042252E-2</v>
      </c>
      <c r="K56">
        <f>'Rule of Law'!BB249</f>
        <v>4.8908550292253501E-2</v>
      </c>
      <c r="L56">
        <f>'Rule of Law'!BC249</f>
        <v>4.9980122596025502E-2</v>
      </c>
      <c r="M56">
        <f>'Rule of Law'!BD249</f>
        <v>1.54577177017927E-2</v>
      </c>
      <c r="N56">
        <f>'Rule of Law'!BE249</f>
        <v>-3.6608554422855398E-2</v>
      </c>
      <c r="O56">
        <f>'Rule of Law'!BF249</f>
        <v>-4.6927677467465401E-3</v>
      </c>
      <c r="P56">
        <f>'Rule of Law'!BG249</f>
        <v>-7.60362073779106E-2</v>
      </c>
      <c r="Q56">
        <f>'Rule of Law'!BH249</f>
        <v>-0.23225000500678999</v>
      </c>
      <c r="R56">
        <f>'Rule of Law'!BI249</f>
        <v>-0.34149235486984297</v>
      </c>
      <c r="S56">
        <f>'Rule of Law'!BJ249</f>
        <v>-0.31727251410484297</v>
      </c>
      <c r="T56">
        <f>'Rule of Law'!BK249</f>
        <v>-0.390099376440048</v>
      </c>
      <c r="U56">
        <f>'Rule of Law'!BL249</f>
        <v>-0.346833646297455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B20A-5DB9-4E56-9D83-EC3585F830A7}">
  <dimension ref="A1:BQ270"/>
  <sheetViews>
    <sheetView topLeftCell="A22" workbookViewId="0">
      <selection activeCell="A87" sqref="A87"/>
    </sheetView>
  </sheetViews>
  <sheetFormatPr defaultRowHeight="14.4"/>
  <cols>
    <col min="1" max="1" width="44.109375" style="2" bestFit="1" customWidth="1"/>
    <col min="2" max="2" width="25.6640625" style="2" bestFit="1" customWidth="1"/>
    <col min="3" max="3" width="18.21875" style="2" bestFit="1" customWidth="1"/>
    <col min="4" max="4" width="12.77734375" style="2" bestFit="1" customWidth="1"/>
    <col min="5" max="40" width="5" style="2" hidden="1" customWidth="1"/>
    <col min="41" max="41" width="12.109375" style="2" hidden="1" customWidth="1"/>
    <col min="42" max="42" width="5" style="2" hidden="1" customWidth="1"/>
    <col min="43" max="43" width="12.109375" style="2" hidden="1" customWidth="1"/>
    <col min="44" max="44" width="5" style="2" hidden="1" customWidth="1"/>
    <col min="45" max="45" width="12.109375" style="2" hidden="1" customWidth="1"/>
    <col min="46" max="46" width="5" style="2" hidden="1" customWidth="1"/>
    <col min="47" max="68" width="12.109375" style="2" bestFit="1" customWidth="1"/>
    <col min="69" max="69" width="5" style="2" bestFit="1" customWidth="1"/>
    <col min="70" max="256" width="8.88671875" style="2"/>
    <col min="257" max="257" width="44.109375" style="2" bestFit="1" customWidth="1"/>
    <col min="258" max="258" width="25.6640625" style="2" bestFit="1" customWidth="1"/>
    <col min="259" max="259" width="18.21875" style="2" bestFit="1" customWidth="1"/>
    <col min="260" max="260" width="12.77734375" style="2" bestFit="1" customWidth="1"/>
    <col min="261" max="302" width="0" style="2" hidden="1" customWidth="1"/>
    <col min="303" max="324" width="12.109375" style="2" bestFit="1" customWidth="1"/>
    <col min="325" max="325" width="5" style="2" bestFit="1" customWidth="1"/>
    <col min="326" max="512" width="8.88671875" style="2"/>
    <col min="513" max="513" width="44.109375" style="2" bestFit="1" customWidth="1"/>
    <col min="514" max="514" width="25.6640625" style="2" bestFit="1" customWidth="1"/>
    <col min="515" max="515" width="18.21875" style="2" bestFit="1" customWidth="1"/>
    <col min="516" max="516" width="12.77734375" style="2" bestFit="1" customWidth="1"/>
    <col min="517" max="558" width="0" style="2" hidden="1" customWidth="1"/>
    <col min="559" max="580" width="12.109375" style="2" bestFit="1" customWidth="1"/>
    <col min="581" max="581" width="5" style="2" bestFit="1" customWidth="1"/>
    <col min="582" max="768" width="8.88671875" style="2"/>
    <col min="769" max="769" width="44.109375" style="2" bestFit="1" customWidth="1"/>
    <col min="770" max="770" width="25.6640625" style="2" bestFit="1" customWidth="1"/>
    <col min="771" max="771" width="18.21875" style="2" bestFit="1" customWidth="1"/>
    <col min="772" max="772" width="12.77734375" style="2" bestFit="1" customWidth="1"/>
    <col min="773" max="814" width="0" style="2" hidden="1" customWidth="1"/>
    <col min="815" max="836" width="12.109375" style="2" bestFit="1" customWidth="1"/>
    <col min="837" max="837" width="5" style="2" bestFit="1" customWidth="1"/>
    <col min="838" max="1024" width="8.88671875" style="2"/>
    <col min="1025" max="1025" width="44.109375" style="2" bestFit="1" customWidth="1"/>
    <col min="1026" max="1026" width="25.6640625" style="2" bestFit="1" customWidth="1"/>
    <col min="1027" max="1027" width="18.21875" style="2" bestFit="1" customWidth="1"/>
    <col min="1028" max="1028" width="12.77734375" style="2" bestFit="1" customWidth="1"/>
    <col min="1029" max="1070" width="0" style="2" hidden="1" customWidth="1"/>
    <col min="1071" max="1092" width="12.109375" style="2" bestFit="1" customWidth="1"/>
    <col min="1093" max="1093" width="5" style="2" bestFit="1" customWidth="1"/>
    <col min="1094" max="1280" width="8.88671875" style="2"/>
    <col min="1281" max="1281" width="44.109375" style="2" bestFit="1" customWidth="1"/>
    <col min="1282" max="1282" width="25.6640625" style="2" bestFit="1" customWidth="1"/>
    <col min="1283" max="1283" width="18.21875" style="2" bestFit="1" customWidth="1"/>
    <col min="1284" max="1284" width="12.77734375" style="2" bestFit="1" customWidth="1"/>
    <col min="1285" max="1326" width="0" style="2" hidden="1" customWidth="1"/>
    <col min="1327" max="1348" width="12.109375" style="2" bestFit="1" customWidth="1"/>
    <col min="1349" max="1349" width="5" style="2" bestFit="1" customWidth="1"/>
    <col min="1350" max="1536" width="8.88671875" style="2"/>
    <col min="1537" max="1537" width="44.109375" style="2" bestFit="1" customWidth="1"/>
    <col min="1538" max="1538" width="25.6640625" style="2" bestFit="1" customWidth="1"/>
    <col min="1539" max="1539" width="18.21875" style="2" bestFit="1" customWidth="1"/>
    <col min="1540" max="1540" width="12.77734375" style="2" bestFit="1" customWidth="1"/>
    <col min="1541" max="1582" width="0" style="2" hidden="1" customWidth="1"/>
    <col min="1583" max="1604" width="12.109375" style="2" bestFit="1" customWidth="1"/>
    <col min="1605" max="1605" width="5" style="2" bestFit="1" customWidth="1"/>
    <col min="1606" max="1792" width="8.88671875" style="2"/>
    <col min="1793" max="1793" width="44.109375" style="2" bestFit="1" customWidth="1"/>
    <col min="1794" max="1794" width="25.6640625" style="2" bestFit="1" customWidth="1"/>
    <col min="1795" max="1795" width="18.21875" style="2" bestFit="1" customWidth="1"/>
    <col min="1796" max="1796" width="12.77734375" style="2" bestFit="1" customWidth="1"/>
    <col min="1797" max="1838" width="0" style="2" hidden="1" customWidth="1"/>
    <col min="1839" max="1860" width="12.109375" style="2" bestFit="1" customWidth="1"/>
    <col min="1861" max="1861" width="5" style="2" bestFit="1" customWidth="1"/>
    <col min="1862" max="2048" width="8.88671875" style="2"/>
    <col min="2049" max="2049" width="44.109375" style="2" bestFit="1" customWidth="1"/>
    <col min="2050" max="2050" width="25.6640625" style="2" bestFit="1" customWidth="1"/>
    <col min="2051" max="2051" width="18.21875" style="2" bestFit="1" customWidth="1"/>
    <col min="2052" max="2052" width="12.77734375" style="2" bestFit="1" customWidth="1"/>
    <col min="2053" max="2094" width="0" style="2" hidden="1" customWidth="1"/>
    <col min="2095" max="2116" width="12.109375" style="2" bestFit="1" customWidth="1"/>
    <col min="2117" max="2117" width="5" style="2" bestFit="1" customWidth="1"/>
    <col min="2118" max="2304" width="8.88671875" style="2"/>
    <col min="2305" max="2305" width="44.109375" style="2" bestFit="1" customWidth="1"/>
    <col min="2306" max="2306" width="25.6640625" style="2" bestFit="1" customWidth="1"/>
    <col min="2307" max="2307" width="18.21875" style="2" bestFit="1" customWidth="1"/>
    <col min="2308" max="2308" width="12.77734375" style="2" bestFit="1" customWidth="1"/>
    <col min="2309" max="2350" width="0" style="2" hidden="1" customWidth="1"/>
    <col min="2351" max="2372" width="12.109375" style="2" bestFit="1" customWidth="1"/>
    <col min="2373" max="2373" width="5" style="2" bestFit="1" customWidth="1"/>
    <col min="2374" max="2560" width="8.88671875" style="2"/>
    <col min="2561" max="2561" width="44.109375" style="2" bestFit="1" customWidth="1"/>
    <col min="2562" max="2562" width="25.6640625" style="2" bestFit="1" customWidth="1"/>
    <col min="2563" max="2563" width="18.21875" style="2" bestFit="1" customWidth="1"/>
    <col min="2564" max="2564" width="12.77734375" style="2" bestFit="1" customWidth="1"/>
    <col min="2565" max="2606" width="0" style="2" hidden="1" customWidth="1"/>
    <col min="2607" max="2628" width="12.109375" style="2" bestFit="1" customWidth="1"/>
    <col min="2629" max="2629" width="5" style="2" bestFit="1" customWidth="1"/>
    <col min="2630" max="2816" width="8.88671875" style="2"/>
    <col min="2817" max="2817" width="44.109375" style="2" bestFit="1" customWidth="1"/>
    <col min="2818" max="2818" width="25.6640625" style="2" bestFit="1" customWidth="1"/>
    <col min="2819" max="2819" width="18.21875" style="2" bestFit="1" customWidth="1"/>
    <col min="2820" max="2820" width="12.77734375" style="2" bestFit="1" customWidth="1"/>
    <col min="2821" max="2862" width="0" style="2" hidden="1" customWidth="1"/>
    <col min="2863" max="2884" width="12.109375" style="2" bestFit="1" customWidth="1"/>
    <col min="2885" max="2885" width="5" style="2" bestFit="1" customWidth="1"/>
    <col min="2886" max="3072" width="8.88671875" style="2"/>
    <col min="3073" max="3073" width="44.109375" style="2" bestFit="1" customWidth="1"/>
    <col min="3074" max="3074" width="25.6640625" style="2" bestFit="1" customWidth="1"/>
    <col min="3075" max="3075" width="18.21875" style="2" bestFit="1" customWidth="1"/>
    <col min="3076" max="3076" width="12.77734375" style="2" bestFit="1" customWidth="1"/>
    <col min="3077" max="3118" width="0" style="2" hidden="1" customWidth="1"/>
    <col min="3119" max="3140" width="12.109375" style="2" bestFit="1" customWidth="1"/>
    <col min="3141" max="3141" width="5" style="2" bestFit="1" customWidth="1"/>
    <col min="3142" max="3328" width="8.88671875" style="2"/>
    <col min="3329" max="3329" width="44.109375" style="2" bestFit="1" customWidth="1"/>
    <col min="3330" max="3330" width="25.6640625" style="2" bestFit="1" customWidth="1"/>
    <col min="3331" max="3331" width="18.21875" style="2" bestFit="1" customWidth="1"/>
    <col min="3332" max="3332" width="12.77734375" style="2" bestFit="1" customWidth="1"/>
    <col min="3333" max="3374" width="0" style="2" hidden="1" customWidth="1"/>
    <col min="3375" max="3396" width="12.109375" style="2" bestFit="1" customWidth="1"/>
    <col min="3397" max="3397" width="5" style="2" bestFit="1" customWidth="1"/>
    <col min="3398" max="3584" width="8.88671875" style="2"/>
    <col min="3585" max="3585" width="44.109375" style="2" bestFit="1" customWidth="1"/>
    <col min="3586" max="3586" width="25.6640625" style="2" bestFit="1" customWidth="1"/>
    <col min="3587" max="3587" width="18.21875" style="2" bestFit="1" customWidth="1"/>
    <col min="3588" max="3588" width="12.77734375" style="2" bestFit="1" customWidth="1"/>
    <col min="3589" max="3630" width="0" style="2" hidden="1" customWidth="1"/>
    <col min="3631" max="3652" width="12.109375" style="2" bestFit="1" customWidth="1"/>
    <col min="3653" max="3653" width="5" style="2" bestFit="1" customWidth="1"/>
    <col min="3654" max="3840" width="8.88671875" style="2"/>
    <col min="3841" max="3841" width="44.109375" style="2" bestFit="1" customWidth="1"/>
    <col min="3842" max="3842" width="25.6640625" style="2" bestFit="1" customWidth="1"/>
    <col min="3843" max="3843" width="18.21875" style="2" bestFit="1" customWidth="1"/>
    <col min="3844" max="3844" width="12.77734375" style="2" bestFit="1" customWidth="1"/>
    <col min="3845" max="3886" width="0" style="2" hidden="1" customWidth="1"/>
    <col min="3887" max="3908" width="12.109375" style="2" bestFit="1" customWidth="1"/>
    <col min="3909" max="3909" width="5" style="2" bestFit="1" customWidth="1"/>
    <col min="3910" max="4096" width="8.88671875" style="2"/>
    <col min="4097" max="4097" width="44.109375" style="2" bestFit="1" customWidth="1"/>
    <col min="4098" max="4098" width="25.6640625" style="2" bestFit="1" customWidth="1"/>
    <col min="4099" max="4099" width="18.21875" style="2" bestFit="1" customWidth="1"/>
    <col min="4100" max="4100" width="12.77734375" style="2" bestFit="1" customWidth="1"/>
    <col min="4101" max="4142" width="0" style="2" hidden="1" customWidth="1"/>
    <col min="4143" max="4164" width="12.109375" style="2" bestFit="1" customWidth="1"/>
    <col min="4165" max="4165" width="5" style="2" bestFit="1" customWidth="1"/>
    <col min="4166" max="4352" width="8.88671875" style="2"/>
    <col min="4353" max="4353" width="44.109375" style="2" bestFit="1" customWidth="1"/>
    <col min="4354" max="4354" width="25.6640625" style="2" bestFit="1" customWidth="1"/>
    <col min="4355" max="4355" width="18.21875" style="2" bestFit="1" customWidth="1"/>
    <col min="4356" max="4356" width="12.77734375" style="2" bestFit="1" customWidth="1"/>
    <col min="4357" max="4398" width="0" style="2" hidden="1" customWidth="1"/>
    <col min="4399" max="4420" width="12.109375" style="2" bestFit="1" customWidth="1"/>
    <col min="4421" max="4421" width="5" style="2" bestFit="1" customWidth="1"/>
    <col min="4422" max="4608" width="8.88671875" style="2"/>
    <col min="4609" max="4609" width="44.109375" style="2" bestFit="1" customWidth="1"/>
    <col min="4610" max="4610" width="25.6640625" style="2" bestFit="1" customWidth="1"/>
    <col min="4611" max="4611" width="18.21875" style="2" bestFit="1" customWidth="1"/>
    <col min="4612" max="4612" width="12.77734375" style="2" bestFit="1" customWidth="1"/>
    <col min="4613" max="4654" width="0" style="2" hidden="1" customWidth="1"/>
    <col min="4655" max="4676" width="12.109375" style="2" bestFit="1" customWidth="1"/>
    <col min="4677" max="4677" width="5" style="2" bestFit="1" customWidth="1"/>
    <col min="4678" max="4864" width="8.88671875" style="2"/>
    <col min="4865" max="4865" width="44.109375" style="2" bestFit="1" customWidth="1"/>
    <col min="4866" max="4866" width="25.6640625" style="2" bestFit="1" customWidth="1"/>
    <col min="4867" max="4867" width="18.21875" style="2" bestFit="1" customWidth="1"/>
    <col min="4868" max="4868" width="12.77734375" style="2" bestFit="1" customWidth="1"/>
    <col min="4869" max="4910" width="0" style="2" hidden="1" customWidth="1"/>
    <col min="4911" max="4932" width="12.109375" style="2" bestFit="1" customWidth="1"/>
    <col min="4933" max="4933" width="5" style="2" bestFit="1" customWidth="1"/>
    <col min="4934" max="5120" width="8.88671875" style="2"/>
    <col min="5121" max="5121" width="44.109375" style="2" bestFit="1" customWidth="1"/>
    <col min="5122" max="5122" width="25.6640625" style="2" bestFit="1" customWidth="1"/>
    <col min="5123" max="5123" width="18.21875" style="2" bestFit="1" customWidth="1"/>
    <col min="5124" max="5124" width="12.77734375" style="2" bestFit="1" customWidth="1"/>
    <col min="5125" max="5166" width="0" style="2" hidden="1" customWidth="1"/>
    <col min="5167" max="5188" width="12.109375" style="2" bestFit="1" customWidth="1"/>
    <col min="5189" max="5189" width="5" style="2" bestFit="1" customWidth="1"/>
    <col min="5190" max="5376" width="8.88671875" style="2"/>
    <col min="5377" max="5377" width="44.109375" style="2" bestFit="1" customWidth="1"/>
    <col min="5378" max="5378" width="25.6640625" style="2" bestFit="1" customWidth="1"/>
    <col min="5379" max="5379" width="18.21875" style="2" bestFit="1" customWidth="1"/>
    <col min="5380" max="5380" width="12.77734375" style="2" bestFit="1" customWidth="1"/>
    <col min="5381" max="5422" width="0" style="2" hidden="1" customWidth="1"/>
    <col min="5423" max="5444" width="12.109375" style="2" bestFit="1" customWidth="1"/>
    <col min="5445" max="5445" width="5" style="2" bestFit="1" customWidth="1"/>
    <col min="5446" max="5632" width="8.88671875" style="2"/>
    <col min="5633" max="5633" width="44.109375" style="2" bestFit="1" customWidth="1"/>
    <col min="5634" max="5634" width="25.6640625" style="2" bestFit="1" customWidth="1"/>
    <col min="5635" max="5635" width="18.21875" style="2" bestFit="1" customWidth="1"/>
    <col min="5636" max="5636" width="12.77734375" style="2" bestFit="1" customWidth="1"/>
    <col min="5637" max="5678" width="0" style="2" hidden="1" customWidth="1"/>
    <col min="5679" max="5700" width="12.109375" style="2" bestFit="1" customWidth="1"/>
    <col min="5701" max="5701" width="5" style="2" bestFit="1" customWidth="1"/>
    <col min="5702" max="5888" width="8.88671875" style="2"/>
    <col min="5889" max="5889" width="44.109375" style="2" bestFit="1" customWidth="1"/>
    <col min="5890" max="5890" width="25.6640625" style="2" bestFit="1" customWidth="1"/>
    <col min="5891" max="5891" width="18.21875" style="2" bestFit="1" customWidth="1"/>
    <col min="5892" max="5892" width="12.77734375" style="2" bestFit="1" customWidth="1"/>
    <col min="5893" max="5934" width="0" style="2" hidden="1" customWidth="1"/>
    <col min="5935" max="5956" width="12.109375" style="2" bestFit="1" customWidth="1"/>
    <col min="5957" max="5957" width="5" style="2" bestFit="1" customWidth="1"/>
    <col min="5958" max="6144" width="8.88671875" style="2"/>
    <col min="6145" max="6145" width="44.109375" style="2" bestFit="1" customWidth="1"/>
    <col min="6146" max="6146" width="25.6640625" style="2" bestFit="1" customWidth="1"/>
    <col min="6147" max="6147" width="18.21875" style="2" bestFit="1" customWidth="1"/>
    <col min="6148" max="6148" width="12.77734375" style="2" bestFit="1" customWidth="1"/>
    <col min="6149" max="6190" width="0" style="2" hidden="1" customWidth="1"/>
    <col min="6191" max="6212" width="12.109375" style="2" bestFit="1" customWidth="1"/>
    <col min="6213" max="6213" width="5" style="2" bestFit="1" customWidth="1"/>
    <col min="6214" max="6400" width="8.88671875" style="2"/>
    <col min="6401" max="6401" width="44.109375" style="2" bestFit="1" customWidth="1"/>
    <col min="6402" max="6402" width="25.6640625" style="2" bestFit="1" customWidth="1"/>
    <col min="6403" max="6403" width="18.21875" style="2" bestFit="1" customWidth="1"/>
    <col min="6404" max="6404" width="12.77734375" style="2" bestFit="1" customWidth="1"/>
    <col min="6405" max="6446" width="0" style="2" hidden="1" customWidth="1"/>
    <col min="6447" max="6468" width="12.109375" style="2" bestFit="1" customWidth="1"/>
    <col min="6469" max="6469" width="5" style="2" bestFit="1" customWidth="1"/>
    <col min="6470" max="6656" width="8.88671875" style="2"/>
    <col min="6657" max="6657" width="44.109375" style="2" bestFit="1" customWidth="1"/>
    <col min="6658" max="6658" width="25.6640625" style="2" bestFit="1" customWidth="1"/>
    <col min="6659" max="6659" width="18.21875" style="2" bestFit="1" customWidth="1"/>
    <col min="6660" max="6660" width="12.77734375" style="2" bestFit="1" customWidth="1"/>
    <col min="6661" max="6702" width="0" style="2" hidden="1" customWidth="1"/>
    <col min="6703" max="6724" width="12.109375" style="2" bestFit="1" customWidth="1"/>
    <col min="6725" max="6725" width="5" style="2" bestFit="1" customWidth="1"/>
    <col min="6726" max="6912" width="8.88671875" style="2"/>
    <col min="6913" max="6913" width="44.109375" style="2" bestFit="1" customWidth="1"/>
    <col min="6914" max="6914" width="25.6640625" style="2" bestFit="1" customWidth="1"/>
    <col min="6915" max="6915" width="18.21875" style="2" bestFit="1" customWidth="1"/>
    <col min="6916" max="6916" width="12.77734375" style="2" bestFit="1" customWidth="1"/>
    <col min="6917" max="6958" width="0" style="2" hidden="1" customWidth="1"/>
    <col min="6959" max="6980" width="12.109375" style="2" bestFit="1" customWidth="1"/>
    <col min="6981" max="6981" width="5" style="2" bestFit="1" customWidth="1"/>
    <col min="6982" max="7168" width="8.88671875" style="2"/>
    <col min="7169" max="7169" width="44.109375" style="2" bestFit="1" customWidth="1"/>
    <col min="7170" max="7170" width="25.6640625" style="2" bestFit="1" customWidth="1"/>
    <col min="7171" max="7171" width="18.21875" style="2" bestFit="1" customWidth="1"/>
    <col min="7172" max="7172" width="12.77734375" style="2" bestFit="1" customWidth="1"/>
    <col min="7173" max="7214" width="0" style="2" hidden="1" customWidth="1"/>
    <col min="7215" max="7236" width="12.109375" style="2" bestFit="1" customWidth="1"/>
    <col min="7237" max="7237" width="5" style="2" bestFit="1" customWidth="1"/>
    <col min="7238" max="7424" width="8.88671875" style="2"/>
    <col min="7425" max="7425" width="44.109375" style="2" bestFit="1" customWidth="1"/>
    <col min="7426" max="7426" width="25.6640625" style="2" bestFit="1" customWidth="1"/>
    <col min="7427" max="7427" width="18.21875" style="2" bestFit="1" customWidth="1"/>
    <col min="7428" max="7428" width="12.77734375" style="2" bestFit="1" customWidth="1"/>
    <col min="7429" max="7470" width="0" style="2" hidden="1" customWidth="1"/>
    <col min="7471" max="7492" width="12.109375" style="2" bestFit="1" customWidth="1"/>
    <col min="7493" max="7493" width="5" style="2" bestFit="1" customWidth="1"/>
    <col min="7494" max="7680" width="8.88671875" style="2"/>
    <col min="7681" max="7681" width="44.109375" style="2" bestFit="1" customWidth="1"/>
    <col min="7682" max="7682" width="25.6640625" style="2" bestFit="1" customWidth="1"/>
    <col min="7683" max="7683" width="18.21875" style="2" bestFit="1" customWidth="1"/>
    <col min="7684" max="7684" width="12.77734375" style="2" bestFit="1" customWidth="1"/>
    <col min="7685" max="7726" width="0" style="2" hidden="1" customWidth="1"/>
    <col min="7727" max="7748" width="12.109375" style="2" bestFit="1" customWidth="1"/>
    <col min="7749" max="7749" width="5" style="2" bestFit="1" customWidth="1"/>
    <col min="7750" max="7936" width="8.88671875" style="2"/>
    <col min="7937" max="7937" width="44.109375" style="2" bestFit="1" customWidth="1"/>
    <col min="7938" max="7938" width="25.6640625" style="2" bestFit="1" customWidth="1"/>
    <col min="7939" max="7939" width="18.21875" style="2" bestFit="1" customWidth="1"/>
    <col min="7940" max="7940" width="12.77734375" style="2" bestFit="1" customWidth="1"/>
    <col min="7941" max="7982" width="0" style="2" hidden="1" customWidth="1"/>
    <col min="7983" max="8004" width="12.109375" style="2" bestFit="1" customWidth="1"/>
    <col min="8005" max="8005" width="5" style="2" bestFit="1" customWidth="1"/>
    <col min="8006" max="8192" width="8.88671875" style="2"/>
    <col min="8193" max="8193" width="44.109375" style="2" bestFit="1" customWidth="1"/>
    <col min="8194" max="8194" width="25.6640625" style="2" bestFit="1" customWidth="1"/>
    <col min="8195" max="8195" width="18.21875" style="2" bestFit="1" customWidth="1"/>
    <col min="8196" max="8196" width="12.77734375" style="2" bestFit="1" customWidth="1"/>
    <col min="8197" max="8238" width="0" style="2" hidden="1" customWidth="1"/>
    <col min="8239" max="8260" width="12.109375" style="2" bestFit="1" customWidth="1"/>
    <col min="8261" max="8261" width="5" style="2" bestFit="1" customWidth="1"/>
    <col min="8262" max="8448" width="8.88671875" style="2"/>
    <col min="8449" max="8449" width="44.109375" style="2" bestFit="1" customWidth="1"/>
    <col min="8450" max="8450" width="25.6640625" style="2" bestFit="1" customWidth="1"/>
    <col min="8451" max="8451" width="18.21875" style="2" bestFit="1" customWidth="1"/>
    <col min="8452" max="8452" width="12.77734375" style="2" bestFit="1" customWidth="1"/>
    <col min="8453" max="8494" width="0" style="2" hidden="1" customWidth="1"/>
    <col min="8495" max="8516" width="12.109375" style="2" bestFit="1" customWidth="1"/>
    <col min="8517" max="8517" width="5" style="2" bestFit="1" customWidth="1"/>
    <col min="8518" max="8704" width="8.88671875" style="2"/>
    <col min="8705" max="8705" width="44.109375" style="2" bestFit="1" customWidth="1"/>
    <col min="8706" max="8706" width="25.6640625" style="2" bestFit="1" customWidth="1"/>
    <col min="8707" max="8707" width="18.21875" style="2" bestFit="1" customWidth="1"/>
    <col min="8708" max="8708" width="12.77734375" style="2" bestFit="1" customWidth="1"/>
    <col min="8709" max="8750" width="0" style="2" hidden="1" customWidth="1"/>
    <col min="8751" max="8772" width="12.109375" style="2" bestFit="1" customWidth="1"/>
    <col min="8773" max="8773" width="5" style="2" bestFit="1" customWidth="1"/>
    <col min="8774" max="8960" width="8.88671875" style="2"/>
    <col min="8961" max="8961" width="44.109375" style="2" bestFit="1" customWidth="1"/>
    <col min="8962" max="8962" width="25.6640625" style="2" bestFit="1" customWidth="1"/>
    <col min="8963" max="8963" width="18.21875" style="2" bestFit="1" customWidth="1"/>
    <col min="8964" max="8964" width="12.77734375" style="2" bestFit="1" customWidth="1"/>
    <col min="8965" max="9006" width="0" style="2" hidden="1" customWidth="1"/>
    <col min="9007" max="9028" width="12.109375" style="2" bestFit="1" customWidth="1"/>
    <col min="9029" max="9029" width="5" style="2" bestFit="1" customWidth="1"/>
    <col min="9030" max="9216" width="8.88671875" style="2"/>
    <col min="9217" max="9217" width="44.109375" style="2" bestFit="1" customWidth="1"/>
    <col min="9218" max="9218" width="25.6640625" style="2" bestFit="1" customWidth="1"/>
    <col min="9219" max="9219" width="18.21875" style="2" bestFit="1" customWidth="1"/>
    <col min="9220" max="9220" width="12.77734375" style="2" bestFit="1" customWidth="1"/>
    <col min="9221" max="9262" width="0" style="2" hidden="1" customWidth="1"/>
    <col min="9263" max="9284" width="12.109375" style="2" bestFit="1" customWidth="1"/>
    <col min="9285" max="9285" width="5" style="2" bestFit="1" customWidth="1"/>
    <col min="9286" max="9472" width="8.88671875" style="2"/>
    <col min="9473" max="9473" width="44.109375" style="2" bestFit="1" customWidth="1"/>
    <col min="9474" max="9474" width="25.6640625" style="2" bestFit="1" customWidth="1"/>
    <col min="9475" max="9475" width="18.21875" style="2" bestFit="1" customWidth="1"/>
    <col min="9476" max="9476" width="12.77734375" style="2" bestFit="1" customWidth="1"/>
    <col min="9477" max="9518" width="0" style="2" hidden="1" customWidth="1"/>
    <col min="9519" max="9540" width="12.109375" style="2" bestFit="1" customWidth="1"/>
    <col min="9541" max="9541" width="5" style="2" bestFit="1" customWidth="1"/>
    <col min="9542" max="9728" width="8.88671875" style="2"/>
    <col min="9729" max="9729" width="44.109375" style="2" bestFit="1" customWidth="1"/>
    <col min="9730" max="9730" width="25.6640625" style="2" bestFit="1" customWidth="1"/>
    <col min="9731" max="9731" width="18.21875" style="2" bestFit="1" customWidth="1"/>
    <col min="9732" max="9732" width="12.77734375" style="2" bestFit="1" customWidth="1"/>
    <col min="9733" max="9774" width="0" style="2" hidden="1" customWidth="1"/>
    <col min="9775" max="9796" width="12.109375" style="2" bestFit="1" customWidth="1"/>
    <col min="9797" max="9797" width="5" style="2" bestFit="1" customWidth="1"/>
    <col min="9798" max="9984" width="8.88671875" style="2"/>
    <col min="9985" max="9985" width="44.109375" style="2" bestFit="1" customWidth="1"/>
    <col min="9986" max="9986" width="25.6640625" style="2" bestFit="1" customWidth="1"/>
    <col min="9987" max="9987" width="18.21875" style="2" bestFit="1" customWidth="1"/>
    <col min="9988" max="9988" width="12.77734375" style="2" bestFit="1" customWidth="1"/>
    <col min="9989" max="10030" width="0" style="2" hidden="1" customWidth="1"/>
    <col min="10031" max="10052" width="12.109375" style="2" bestFit="1" customWidth="1"/>
    <col min="10053" max="10053" width="5" style="2" bestFit="1" customWidth="1"/>
    <col min="10054" max="10240" width="8.88671875" style="2"/>
    <col min="10241" max="10241" width="44.109375" style="2" bestFit="1" customWidth="1"/>
    <col min="10242" max="10242" width="25.6640625" style="2" bestFit="1" customWidth="1"/>
    <col min="10243" max="10243" width="18.21875" style="2" bestFit="1" customWidth="1"/>
    <col min="10244" max="10244" width="12.77734375" style="2" bestFit="1" customWidth="1"/>
    <col min="10245" max="10286" width="0" style="2" hidden="1" customWidth="1"/>
    <col min="10287" max="10308" width="12.109375" style="2" bestFit="1" customWidth="1"/>
    <col min="10309" max="10309" width="5" style="2" bestFit="1" customWidth="1"/>
    <col min="10310" max="10496" width="8.88671875" style="2"/>
    <col min="10497" max="10497" width="44.109375" style="2" bestFit="1" customWidth="1"/>
    <col min="10498" max="10498" width="25.6640625" style="2" bestFit="1" customWidth="1"/>
    <col min="10499" max="10499" width="18.21875" style="2" bestFit="1" customWidth="1"/>
    <col min="10500" max="10500" width="12.77734375" style="2" bestFit="1" customWidth="1"/>
    <col min="10501" max="10542" width="0" style="2" hidden="1" customWidth="1"/>
    <col min="10543" max="10564" width="12.109375" style="2" bestFit="1" customWidth="1"/>
    <col min="10565" max="10565" width="5" style="2" bestFit="1" customWidth="1"/>
    <col min="10566" max="10752" width="8.88671875" style="2"/>
    <col min="10753" max="10753" width="44.109375" style="2" bestFit="1" customWidth="1"/>
    <col min="10754" max="10754" width="25.6640625" style="2" bestFit="1" customWidth="1"/>
    <col min="10755" max="10755" width="18.21875" style="2" bestFit="1" customWidth="1"/>
    <col min="10756" max="10756" width="12.77734375" style="2" bestFit="1" customWidth="1"/>
    <col min="10757" max="10798" width="0" style="2" hidden="1" customWidth="1"/>
    <col min="10799" max="10820" width="12.109375" style="2" bestFit="1" customWidth="1"/>
    <col min="10821" max="10821" width="5" style="2" bestFit="1" customWidth="1"/>
    <col min="10822" max="11008" width="8.88671875" style="2"/>
    <col min="11009" max="11009" width="44.109375" style="2" bestFit="1" customWidth="1"/>
    <col min="11010" max="11010" width="25.6640625" style="2" bestFit="1" customWidth="1"/>
    <col min="11011" max="11011" width="18.21875" style="2" bestFit="1" customWidth="1"/>
    <col min="11012" max="11012" width="12.77734375" style="2" bestFit="1" customWidth="1"/>
    <col min="11013" max="11054" width="0" style="2" hidden="1" customWidth="1"/>
    <col min="11055" max="11076" width="12.109375" style="2" bestFit="1" customWidth="1"/>
    <col min="11077" max="11077" width="5" style="2" bestFit="1" customWidth="1"/>
    <col min="11078" max="11264" width="8.88671875" style="2"/>
    <col min="11265" max="11265" width="44.109375" style="2" bestFit="1" customWidth="1"/>
    <col min="11266" max="11266" width="25.6640625" style="2" bestFit="1" customWidth="1"/>
    <col min="11267" max="11267" width="18.21875" style="2" bestFit="1" customWidth="1"/>
    <col min="11268" max="11268" width="12.77734375" style="2" bestFit="1" customWidth="1"/>
    <col min="11269" max="11310" width="0" style="2" hidden="1" customWidth="1"/>
    <col min="11311" max="11332" width="12.109375" style="2" bestFit="1" customWidth="1"/>
    <col min="11333" max="11333" width="5" style="2" bestFit="1" customWidth="1"/>
    <col min="11334" max="11520" width="8.88671875" style="2"/>
    <col min="11521" max="11521" width="44.109375" style="2" bestFit="1" customWidth="1"/>
    <col min="11522" max="11522" width="25.6640625" style="2" bestFit="1" customWidth="1"/>
    <col min="11523" max="11523" width="18.21875" style="2" bestFit="1" customWidth="1"/>
    <col min="11524" max="11524" width="12.77734375" style="2" bestFit="1" customWidth="1"/>
    <col min="11525" max="11566" width="0" style="2" hidden="1" customWidth="1"/>
    <col min="11567" max="11588" width="12.109375" style="2" bestFit="1" customWidth="1"/>
    <col min="11589" max="11589" width="5" style="2" bestFit="1" customWidth="1"/>
    <col min="11590" max="11776" width="8.88671875" style="2"/>
    <col min="11777" max="11777" width="44.109375" style="2" bestFit="1" customWidth="1"/>
    <col min="11778" max="11778" width="25.6640625" style="2" bestFit="1" customWidth="1"/>
    <col min="11779" max="11779" width="18.21875" style="2" bestFit="1" customWidth="1"/>
    <col min="11780" max="11780" width="12.77734375" style="2" bestFit="1" customWidth="1"/>
    <col min="11781" max="11822" width="0" style="2" hidden="1" customWidth="1"/>
    <col min="11823" max="11844" width="12.109375" style="2" bestFit="1" customWidth="1"/>
    <col min="11845" max="11845" width="5" style="2" bestFit="1" customWidth="1"/>
    <col min="11846" max="12032" width="8.88671875" style="2"/>
    <col min="12033" max="12033" width="44.109375" style="2" bestFit="1" customWidth="1"/>
    <col min="12034" max="12034" width="25.6640625" style="2" bestFit="1" customWidth="1"/>
    <col min="12035" max="12035" width="18.21875" style="2" bestFit="1" customWidth="1"/>
    <col min="12036" max="12036" width="12.77734375" style="2" bestFit="1" customWidth="1"/>
    <col min="12037" max="12078" width="0" style="2" hidden="1" customWidth="1"/>
    <col min="12079" max="12100" width="12.109375" style="2" bestFit="1" customWidth="1"/>
    <col min="12101" max="12101" width="5" style="2" bestFit="1" customWidth="1"/>
    <col min="12102" max="12288" width="8.88671875" style="2"/>
    <col min="12289" max="12289" width="44.109375" style="2" bestFit="1" customWidth="1"/>
    <col min="12290" max="12290" width="25.6640625" style="2" bestFit="1" customWidth="1"/>
    <col min="12291" max="12291" width="18.21875" style="2" bestFit="1" customWidth="1"/>
    <col min="12292" max="12292" width="12.77734375" style="2" bestFit="1" customWidth="1"/>
    <col min="12293" max="12334" width="0" style="2" hidden="1" customWidth="1"/>
    <col min="12335" max="12356" width="12.109375" style="2" bestFit="1" customWidth="1"/>
    <col min="12357" max="12357" width="5" style="2" bestFit="1" customWidth="1"/>
    <col min="12358" max="12544" width="8.88671875" style="2"/>
    <col min="12545" max="12545" width="44.109375" style="2" bestFit="1" customWidth="1"/>
    <col min="12546" max="12546" width="25.6640625" style="2" bestFit="1" customWidth="1"/>
    <col min="12547" max="12547" width="18.21875" style="2" bestFit="1" customWidth="1"/>
    <col min="12548" max="12548" width="12.77734375" style="2" bestFit="1" customWidth="1"/>
    <col min="12549" max="12590" width="0" style="2" hidden="1" customWidth="1"/>
    <col min="12591" max="12612" width="12.109375" style="2" bestFit="1" customWidth="1"/>
    <col min="12613" max="12613" width="5" style="2" bestFit="1" customWidth="1"/>
    <col min="12614" max="12800" width="8.88671875" style="2"/>
    <col min="12801" max="12801" width="44.109375" style="2" bestFit="1" customWidth="1"/>
    <col min="12802" max="12802" width="25.6640625" style="2" bestFit="1" customWidth="1"/>
    <col min="12803" max="12803" width="18.21875" style="2" bestFit="1" customWidth="1"/>
    <col min="12804" max="12804" width="12.77734375" style="2" bestFit="1" customWidth="1"/>
    <col min="12805" max="12846" width="0" style="2" hidden="1" customWidth="1"/>
    <col min="12847" max="12868" width="12.109375" style="2" bestFit="1" customWidth="1"/>
    <col min="12869" max="12869" width="5" style="2" bestFit="1" customWidth="1"/>
    <col min="12870" max="13056" width="8.88671875" style="2"/>
    <col min="13057" max="13057" width="44.109375" style="2" bestFit="1" customWidth="1"/>
    <col min="13058" max="13058" width="25.6640625" style="2" bestFit="1" customWidth="1"/>
    <col min="13059" max="13059" width="18.21875" style="2" bestFit="1" customWidth="1"/>
    <col min="13060" max="13060" width="12.77734375" style="2" bestFit="1" customWidth="1"/>
    <col min="13061" max="13102" width="0" style="2" hidden="1" customWidth="1"/>
    <col min="13103" max="13124" width="12.109375" style="2" bestFit="1" customWidth="1"/>
    <col min="13125" max="13125" width="5" style="2" bestFit="1" customWidth="1"/>
    <col min="13126" max="13312" width="8.88671875" style="2"/>
    <col min="13313" max="13313" width="44.109375" style="2" bestFit="1" customWidth="1"/>
    <col min="13314" max="13314" width="25.6640625" style="2" bestFit="1" customWidth="1"/>
    <col min="13315" max="13315" width="18.21875" style="2" bestFit="1" customWidth="1"/>
    <col min="13316" max="13316" width="12.77734375" style="2" bestFit="1" customWidth="1"/>
    <col min="13317" max="13358" width="0" style="2" hidden="1" customWidth="1"/>
    <col min="13359" max="13380" width="12.109375" style="2" bestFit="1" customWidth="1"/>
    <col min="13381" max="13381" width="5" style="2" bestFit="1" customWidth="1"/>
    <col min="13382" max="13568" width="8.88671875" style="2"/>
    <col min="13569" max="13569" width="44.109375" style="2" bestFit="1" customWidth="1"/>
    <col min="13570" max="13570" width="25.6640625" style="2" bestFit="1" customWidth="1"/>
    <col min="13571" max="13571" width="18.21875" style="2" bestFit="1" customWidth="1"/>
    <col min="13572" max="13572" width="12.77734375" style="2" bestFit="1" customWidth="1"/>
    <col min="13573" max="13614" width="0" style="2" hidden="1" customWidth="1"/>
    <col min="13615" max="13636" width="12.109375" style="2" bestFit="1" customWidth="1"/>
    <col min="13637" max="13637" width="5" style="2" bestFit="1" customWidth="1"/>
    <col min="13638" max="13824" width="8.88671875" style="2"/>
    <col min="13825" max="13825" width="44.109375" style="2" bestFit="1" customWidth="1"/>
    <col min="13826" max="13826" width="25.6640625" style="2" bestFit="1" customWidth="1"/>
    <col min="13827" max="13827" width="18.21875" style="2" bestFit="1" customWidth="1"/>
    <col min="13828" max="13828" width="12.77734375" style="2" bestFit="1" customWidth="1"/>
    <col min="13829" max="13870" width="0" style="2" hidden="1" customWidth="1"/>
    <col min="13871" max="13892" width="12.109375" style="2" bestFit="1" customWidth="1"/>
    <col min="13893" max="13893" width="5" style="2" bestFit="1" customWidth="1"/>
    <col min="13894" max="14080" width="8.88671875" style="2"/>
    <col min="14081" max="14081" width="44.109375" style="2" bestFit="1" customWidth="1"/>
    <col min="14082" max="14082" width="25.6640625" style="2" bestFit="1" customWidth="1"/>
    <col min="14083" max="14083" width="18.21875" style="2" bestFit="1" customWidth="1"/>
    <col min="14084" max="14084" width="12.77734375" style="2" bestFit="1" customWidth="1"/>
    <col min="14085" max="14126" width="0" style="2" hidden="1" customWidth="1"/>
    <col min="14127" max="14148" width="12.109375" style="2" bestFit="1" customWidth="1"/>
    <col min="14149" max="14149" width="5" style="2" bestFit="1" customWidth="1"/>
    <col min="14150" max="14336" width="8.88671875" style="2"/>
    <col min="14337" max="14337" width="44.109375" style="2" bestFit="1" customWidth="1"/>
    <col min="14338" max="14338" width="25.6640625" style="2" bestFit="1" customWidth="1"/>
    <col min="14339" max="14339" width="18.21875" style="2" bestFit="1" customWidth="1"/>
    <col min="14340" max="14340" width="12.77734375" style="2" bestFit="1" customWidth="1"/>
    <col min="14341" max="14382" width="0" style="2" hidden="1" customWidth="1"/>
    <col min="14383" max="14404" width="12.109375" style="2" bestFit="1" customWidth="1"/>
    <col min="14405" max="14405" width="5" style="2" bestFit="1" customWidth="1"/>
    <col min="14406" max="14592" width="8.88671875" style="2"/>
    <col min="14593" max="14593" width="44.109375" style="2" bestFit="1" customWidth="1"/>
    <col min="14594" max="14594" width="25.6640625" style="2" bestFit="1" customWidth="1"/>
    <col min="14595" max="14595" width="18.21875" style="2" bestFit="1" customWidth="1"/>
    <col min="14596" max="14596" width="12.77734375" style="2" bestFit="1" customWidth="1"/>
    <col min="14597" max="14638" width="0" style="2" hidden="1" customWidth="1"/>
    <col min="14639" max="14660" width="12.109375" style="2" bestFit="1" customWidth="1"/>
    <col min="14661" max="14661" width="5" style="2" bestFit="1" customWidth="1"/>
    <col min="14662" max="14848" width="8.88671875" style="2"/>
    <col min="14849" max="14849" width="44.109375" style="2" bestFit="1" customWidth="1"/>
    <col min="14850" max="14850" width="25.6640625" style="2" bestFit="1" customWidth="1"/>
    <col min="14851" max="14851" width="18.21875" style="2" bestFit="1" customWidth="1"/>
    <col min="14852" max="14852" width="12.77734375" style="2" bestFit="1" customWidth="1"/>
    <col min="14853" max="14894" width="0" style="2" hidden="1" customWidth="1"/>
    <col min="14895" max="14916" width="12.109375" style="2" bestFit="1" customWidth="1"/>
    <col min="14917" max="14917" width="5" style="2" bestFit="1" customWidth="1"/>
    <col min="14918" max="15104" width="8.88671875" style="2"/>
    <col min="15105" max="15105" width="44.109375" style="2" bestFit="1" customWidth="1"/>
    <col min="15106" max="15106" width="25.6640625" style="2" bestFit="1" customWidth="1"/>
    <col min="15107" max="15107" width="18.21875" style="2" bestFit="1" customWidth="1"/>
    <col min="15108" max="15108" width="12.77734375" style="2" bestFit="1" customWidth="1"/>
    <col min="15109" max="15150" width="0" style="2" hidden="1" customWidth="1"/>
    <col min="15151" max="15172" width="12.109375" style="2" bestFit="1" customWidth="1"/>
    <col min="15173" max="15173" width="5" style="2" bestFit="1" customWidth="1"/>
    <col min="15174" max="15360" width="8.88671875" style="2"/>
    <col min="15361" max="15361" width="44.109375" style="2" bestFit="1" customWidth="1"/>
    <col min="15362" max="15362" width="25.6640625" style="2" bestFit="1" customWidth="1"/>
    <col min="15363" max="15363" width="18.21875" style="2" bestFit="1" customWidth="1"/>
    <col min="15364" max="15364" width="12.77734375" style="2" bestFit="1" customWidth="1"/>
    <col min="15365" max="15406" width="0" style="2" hidden="1" customWidth="1"/>
    <col min="15407" max="15428" width="12.109375" style="2" bestFit="1" customWidth="1"/>
    <col min="15429" max="15429" width="5" style="2" bestFit="1" customWidth="1"/>
    <col min="15430" max="15616" width="8.88671875" style="2"/>
    <col min="15617" max="15617" width="44.109375" style="2" bestFit="1" customWidth="1"/>
    <col min="15618" max="15618" width="25.6640625" style="2" bestFit="1" customWidth="1"/>
    <col min="15619" max="15619" width="18.21875" style="2" bestFit="1" customWidth="1"/>
    <col min="15620" max="15620" width="12.77734375" style="2" bestFit="1" customWidth="1"/>
    <col min="15621" max="15662" width="0" style="2" hidden="1" customWidth="1"/>
    <col min="15663" max="15684" width="12.109375" style="2" bestFit="1" customWidth="1"/>
    <col min="15685" max="15685" width="5" style="2" bestFit="1" customWidth="1"/>
    <col min="15686" max="15872" width="8.88671875" style="2"/>
    <col min="15873" max="15873" width="44.109375" style="2" bestFit="1" customWidth="1"/>
    <col min="15874" max="15874" width="25.6640625" style="2" bestFit="1" customWidth="1"/>
    <col min="15875" max="15875" width="18.21875" style="2" bestFit="1" customWidth="1"/>
    <col min="15876" max="15876" width="12.77734375" style="2" bestFit="1" customWidth="1"/>
    <col min="15877" max="15918" width="0" style="2" hidden="1" customWidth="1"/>
    <col min="15919" max="15940" width="12.109375" style="2" bestFit="1" customWidth="1"/>
    <col min="15941" max="15941" width="5" style="2" bestFit="1" customWidth="1"/>
    <col min="15942" max="16128" width="8.88671875" style="2"/>
    <col min="16129" max="16129" width="44.109375" style="2" bestFit="1" customWidth="1"/>
    <col min="16130" max="16130" width="25.6640625" style="2" bestFit="1" customWidth="1"/>
    <col min="16131" max="16131" width="18.21875" style="2" bestFit="1" customWidth="1"/>
    <col min="16132" max="16132" width="12.77734375" style="2" bestFit="1" customWidth="1"/>
    <col min="16133" max="16174" width="0" style="2" hidden="1" customWidth="1"/>
    <col min="16175" max="16196" width="12.109375" style="2" bestFit="1" customWidth="1"/>
    <col min="16197" max="16197" width="5" style="2" bestFit="1" customWidth="1"/>
    <col min="16198" max="16384" width="8.88671875" style="2"/>
  </cols>
  <sheetData>
    <row r="1" spans="1:69">
      <c r="A1" s="2" t="s">
        <v>51</v>
      </c>
      <c r="B1" s="2" t="s">
        <v>52</v>
      </c>
    </row>
    <row r="2" spans="1:69">
      <c r="A2" s="2" t="s">
        <v>53</v>
      </c>
      <c r="B2" s="3">
        <v>45813</v>
      </c>
    </row>
    <row r="4" spans="1:69">
      <c r="A4" s="2" t="s">
        <v>54</v>
      </c>
      <c r="B4" s="2" t="s">
        <v>55</v>
      </c>
      <c r="C4" s="2" t="s">
        <v>56</v>
      </c>
      <c r="D4" s="2" t="s">
        <v>57</v>
      </c>
      <c r="E4" s="2" t="s">
        <v>795</v>
      </c>
      <c r="F4" s="2" t="s">
        <v>796</v>
      </c>
      <c r="G4" s="2" t="s">
        <v>797</v>
      </c>
      <c r="H4" s="2" t="s">
        <v>798</v>
      </c>
      <c r="I4" s="2" t="s">
        <v>799</v>
      </c>
      <c r="J4" s="2" t="s">
        <v>800</v>
      </c>
      <c r="K4" s="2" t="s">
        <v>801</v>
      </c>
      <c r="L4" s="2" t="s">
        <v>802</v>
      </c>
      <c r="M4" s="2" t="s">
        <v>803</v>
      </c>
      <c r="N4" s="2" t="s">
        <v>804</v>
      </c>
      <c r="O4" s="2" t="s">
        <v>805</v>
      </c>
      <c r="P4" s="2" t="s">
        <v>806</v>
      </c>
      <c r="Q4" s="2" t="s">
        <v>807</v>
      </c>
      <c r="R4" s="2" t="s">
        <v>808</v>
      </c>
      <c r="S4" s="2" t="s">
        <v>809</v>
      </c>
      <c r="T4" s="2" t="s">
        <v>810</v>
      </c>
      <c r="U4" s="2" t="s">
        <v>811</v>
      </c>
      <c r="V4" s="2" t="s">
        <v>812</v>
      </c>
      <c r="W4" s="2" t="s">
        <v>813</v>
      </c>
      <c r="X4" s="2" t="s">
        <v>814</v>
      </c>
      <c r="Y4" s="2" t="s">
        <v>815</v>
      </c>
      <c r="Z4" s="2" t="s">
        <v>816</v>
      </c>
      <c r="AA4" s="2" t="s">
        <v>817</v>
      </c>
      <c r="AB4" s="2" t="s">
        <v>818</v>
      </c>
      <c r="AC4" s="2" t="s">
        <v>819</v>
      </c>
      <c r="AD4" s="2" t="s">
        <v>820</v>
      </c>
      <c r="AE4" s="2" t="s">
        <v>821</v>
      </c>
      <c r="AF4" s="2" t="s">
        <v>822</v>
      </c>
      <c r="AG4" s="2" t="s">
        <v>823</v>
      </c>
      <c r="AH4" s="2" t="s">
        <v>824</v>
      </c>
      <c r="AI4" s="2" t="s">
        <v>825</v>
      </c>
      <c r="AJ4" s="2" t="s">
        <v>826</v>
      </c>
      <c r="AK4" s="2" t="s">
        <v>827</v>
      </c>
      <c r="AL4" s="2" t="s">
        <v>828</v>
      </c>
      <c r="AM4" s="2" t="s">
        <v>829</v>
      </c>
      <c r="AN4" s="2" t="s">
        <v>830</v>
      </c>
      <c r="AO4" s="2" t="s">
        <v>831</v>
      </c>
      <c r="AP4" s="2" t="s">
        <v>832</v>
      </c>
      <c r="AQ4" s="2" t="s">
        <v>833</v>
      </c>
      <c r="AR4" s="2" t="s">
        <v>834</v>
      </c>
      <c r="AS4" s="2" t="s">
        <v>835</v>
      </c>
      <c r="AT4" s="2" t="s">
        <v>836</v>
      </c>
      <c r="AU4" s="2" t="s">
        <v>2</v>
      </c>
      <c r="AV4" s="2" t="s">
        <v>3</v>
      </c>
      <c r="AW4" s="2" t="s">
        <v>4</v>
      </c>
      <c r="AX4" s="2" t="s">
        <v>5</v>
      </c>
      <c r="AY4" s="2" t="s">
        <v>6</v>
      </c>
      <c r="AZ4" s="2" t="s">
        <v>7</v>
      </c>
      <c r="BA4" s="2" t="s">
        <v>8</v>
      </c>
      <c r="BB4" s="2" t="s">
        <v>9</v>
      </c>
      <c r="BC4" s="2" t="s">
        <v>10</v>
      </c>
      <c r="BD4" s="2" t="s">
        <v>11</v>
      </c>
      <c r="BE4" s="2" t="s">
        <v>12</v>
      </c>
      <c r="BF4" s="2" t="s">
        <v>13</v>
      </c>
      <c r="BG4" s="2" t="s">
        <v>14</v>
      </c>
      <c r="BH4" s="2" t="s">
        <v>15</v>
      </c>
      <c r="BI4" s="2" t="s">
        <v>16</v>
      </c>
      <c r="BJ4" s="2" t="s">
        <v>17</v>
      </c>
      <c r="BK4" s="2" t="s">
        <v>18</v>
      </c>
      <c r="BL4" s="2" t="s">
        <v>19</v>
      </c>
      <c r="BM4" s="2" t="s">
        <v>58</v>
      </c>
      <c r="BN4" s="2" t="s">
        <v>59</v>
      </c>
      <c r="BO4" s="2" t="s">
        <v>60</v>
      </c>
      <c r="BP4" s="2" t="s">
        <v>61</v>
      </c>
      <c r="BQ4" s="2" t="s">
        <v>62</v>
      </c>
    </row>
    <row r="5" spans="1:69">
      <c r="A5" s="2" t="s">
        <v>63</v>
      </c>
      <c r="B5" s="2" t="s">
        <v>64</v>
      </c>
      <c r="C5" s="2" t="s">
        <v>837</v>
      </c>
      <c r="D5" s="2" t="s">
        <v>838</v>
      </c>
      <c r="AW5" s="2">
        <v>0.91552680730819702</v>
      </c>
      <c r="AX5" s="2">
        <v>0.84743839502334595</v>
      </c>
      <c r="AY5" s="2">
        <v>0.81043130159378096</v>
      </c>
      <c r="AZ5" s="2">
        <v>0.82646405696868896</v>
      </c>
      <c r="BA5" s="2">
        <v>0.847226142883301</v>
      </c>
      <c r="BB5" s="2">
        <v>1.4262067079544101</v>
      </c>
      <c r="BC5" s="2">
        <v>1.4161136150360101</v>
      </c>
      <c r="BD5" s="2">
        <v>1.3224583864212001</v>
      </c>
      <c r="BE5" s="2">
        <v>1.3097883462905899</v>
      </c>
      <c r="BF5" s="2">
        <v>1.2926331758499101</v>
      </c>
      <c r="BG5" s="2">
        <v>1.0364248752594001</v>
      </c>
      <c r="BH5" s="2">
        <v>1.2271379232406601</v>
      </c>
      <c r="BI5" s="2">
        <v>1.2266480922698999</v>
      </c>
      <c r="BJ5" s="2">
        <v>1.29584264755249</v>
      </c>
      <c r="BK5" s="2">
        <v>1.25965404510498</v>
      </c>
      <c r="BL5" s="2">
        <v>1.2283459901809699</v>
      </c>
      <c r="BM5" s="2">
        <v>1.2705996036529501</v>
      </c>
      <c r="BN5" s="2">
        <v>1.24666583538055</v>
      </c>
      <c r="BO5" s="2">
        <v>1.27802610397339</v>
      </c>
      <c r="BP5" s="2">
        <v>1.2702068090438801</v>
      </c>
    </row>
    <row r="6" spans="1:69">
      <c r="A6" s="2" t="s">
        <v>65</v>
      </c>
      <c r="B6" s="2" t="s">
        <v>66</v>
      </c>
      <c r="C6" s="2" t="s">
        <v>837</v>
      </c>
      <c r="D6" s="2" t="s">
        <v>838</v>
      </c>
    </row>
    <row r="7" spans="1:69">
      <c r="A7" s="2" t="s">
        <v>67</v>
      </c>
      <c r="B7" s="2" t="s">
        <v>68</v>
      </c>
      <c r="C7" s="2" t="s">
        <v>837</v>
      </c>
      <c r="D7" s="2" t="s">
        <v>838</v>
      </c>
      <c r="AO7" s="2">
        <v>-1.78807544708252</v>
      </c>
      <c r="AQ7" s="2">
        <v>-1.7348867654800399</v>
      </c>
      <c r="AS7" s="2">
        <v>-1.78066074848175</v>
      </c>
      <c r="AU7" s="2">
        <v>-1.67347323894501</v>
      </c>
      <c r="AV7" s="2">
        <v>-1.5582937002182</v>
      </c>
      <c r="AW7" s="2">
        <v>-1.6939252614975</v>
      </c>
      <c r="AX7" s="2">
        <v>-1.6629655361175499</v>
      </c>
      <c r="AY7" s="2">
        <v>-1.8790048360824601</v>
      </c>
      <c r="AZ7" s="2">
        <v>-1.85256004333496</v>
      </c>
      <c r="BA7" s="2">
        <v>-1.9033075571060201</v>
      </c>
      <c r="BB7" s="2">
        <v>-1.8761187791824301</v>
      </c>
      <c r="BC7" s="2">
        <v>-1.8700580596923799</v>
      </c>
      <c r="BD7" s="2">
        <v>-1.9225001335144001</v>
      </c>
      <c r="BE7" s="2">
        <v>-1.6518931388855</v>
      </c>
      <c r="BF7" s="2">
        <v>-1.6097551584243801</v>
      </c>
      <c r="BG7" s="2">
        <v>-1.4377019405364999</v>
      </c>
      <c r="BH7" s="2">
        <v>-1.5162006616592401</v>
      </c>
      <c r="BI7" s="2">
        <v>-1.52253365516663</v>
      </c>
      <c r="BJ7" s="2">
        <v>-1.58117640018463</v>
      </c>
      <c r="BK7" s="2">
        <v>-1.6891238689422601</v>
      </c>
      <c r="BL7" s="2">
        <v>-1.7421004772186299</v>
      </c>
      <c r="BM7" s="2">
        <v>-1.8314067125320399</v>
      </c>
      <c r="BN7" s="2">
        <v>-1.8772339820861801</v>
      </c>
      <c r="BO7" s="2">
        <v>-1.65984559059143</v>
      </c>
      <c r="BP7" s="2">
        <v>-1.64964091777802</v>
      </c>
    </row>
    <row r="8" spans="1:69">
      <c r="A8" s="2" t="s">
        <v>69</v>
      </c>
      <c r="B8" s="2" t="s">
        <v>70</v>
      </c>
      <c r="C8" s="2" t="s">
        <v>837</v>
      </c>
      <c r="D8" s="2" t="s">
        <v>838</v>
      </c>
    </row>
    <row r="9" spans="1:69">
      <c r="A9" s="2" t="s">
        <v>71</v>
      </c>
      <c r="B9" s="2" t="s">
        <v>72</v>
      </c>
      <c r="C9" s="2" t="s">
        <v>837</v>
      </c>
      <c r="D9" s="2" t="s">
        <v>838</v>
      </c>
      <c r="AO9" s="2">
        <v>-1.6304693222045901</v>
      </c>
      <c r="AQ9" s="2">
        <v>-1.52733862400055</v>
      </c>
      <c r="AS9" s="2">
        <v>-1.60150170326233</v>
      </c>
      <c r="AU9" s="2">
        <v>-1.6333438158035301</v>
      </c>
      <c r="AV9" s="2">
        <v>-1.48285591602325</v>
      </c>
      <c r="AW9" s="2">
        <v>-1.5209163427352901</v>
      </c>
      <c r="AX9" s="2">
        <v>-1.46479499340057</v>
      </c>
      <c r="AY9" s="2">
        <v>-1.31127274036407</v>
      </c>
      <c r="AZ9" s="2">
        <v>-1.3751335144043</v>
      </c>
      <c r="BA9" s="2">
        <v>-1.3785638809204099</v>
      </c>
      <c r="BB9" s="2">
        <v>-1.23628926277161</v>
      </c>
      <c r="BC9" s="2">
        <v>-1.2729532718658401</v>
      </c>
      <c r="BD9" s="2">
        <v>-1.2770532369613601</v>
      </c>
      <c r="BE9" s="2">
        <v>-1.30477690696716</v>
      </c>
      <c r="BF9" s="2">
        <v>-1.29094779491425</v>
      </c>
      <c r="BG9" s="2">
        <v>-1.0749540328979501</v>
      </c>
      <c r="BH9" s="2">
        <v>-1.0306587219238299</v>
      </c>
      <c r="BI9" s="2">
        <v>-1.00395023822784</v>
      </c>
      <c r="BJ9" s="2">
        <v>-1.0399820804595901</v>
      </c>
      <c r="BK9" s="2">
        <v>-1.0010620355606099</v>
      </c>
      <c r="BL9" s="2">
        <v>-1.02354824542999</v>
      </c>
      <c r="BM9" s="2">
        <v>-0.95105880498886097</v>
      </c>
      <c r="BN9" s="2">
        <v>-0.983753621578217</v>
      </c>
      <c r="BO9" s="2">
        <v>-1.0220357179641699</v>
      </c>
      <c r="BP9" s="2">
        <v>-1.09906601905823</v>
      </c>
    </row>
    <row r="10" spans="1:69">
      <c r="A10" s="2" t="s">
        <v>73</v>
      </c>
      <c r="B10" s="2" t="s">
        <v>74</v>
      </c>
      <c r="C10" s="2" t="s">
        <v>837</v>
      </c>
      <c r="D10" s="2" t="s">
        <v>838</v>
      </c>
      <c r="AO10" s="2">
        <v>-0.68448179960250899</v>
      </c>
      <c r="AQ10" s="2">
        <v>-0.92967170476913497</v>
      </c>
      <c r="AS10" s="2">
        <v>-1.02066767215729</v>
      </c>
      <c r="AU10" s="2">
        <v>-0.76232141256332397</v>
      </c>
      <c r="AV10" s="2">
        <v>-0.71632349491119396</v>
      </c>
      <c r="AW10" s="2">
        <v>-0.70103234052658103</v>
      </c>
      <c r="AX10" s="2">
        <v>-0.76383316516876198</v>
      </c>
      <c r="AY10" s="2">
        <v>-0.70313584804534901</v>
      </c>
      <c r="AZ10" s="2">
        <v>-0.66154599189758301</v>
      </c>
      <c r="BA10" s="2">
        <v>-0.60007929801940896</v>
      </c>
      <c r="BB10" s="2">
        <v>-0.49437016248702997</v>
      </c>
      <c r="BC10" s="2">
        <v>-0.38576048612594599</v>
      </c>
      <c r="BD10" s="2">
        <v>-0.442926466464996</v>
      </c>
      <c r="BE10" s="2">
        <v>-0.51983976364135698</v>
      </c>
      <c r="BF10" s="2">
        <v>-0.51882886886596702</v>
      </c>
      <c r="BG10" s="2">
        <v>-0.31119909882545499</v>
      </c>
      <c r="BH10" s="2">
        <v>-0.31968680024147</v>
      </c>
      <c r="BI10" s="2">
        <v>-0.32263198494911199</v>
      </c>
      <c r="BJ10" s="2">
        <v>-0.414191573858261</v>
      </c>
      <c r="BK10" s="2">
        <v>-0.414752036333084</v>
      </c>
      <c r="BL10" s="2">
        <v>-0.42631736397743197</v>
      </c>
      <c r="BM10" s="2">
        <v>-0.378028213977814</v>
      </c>
      <c r="BN10" s="2">
        <v>-0.28071627020835899</v>
      </c>
      <c r="BO10" s="2">
        <v>-0.16558510065078699</v>
      </c>
      <c r="BP10" s="2">
        <v>-0.16409736871719399</v>
      </c>
    </row>
    <row r="11" spans="1:69">
      <c r="A11" s="2" t="s">
        <v>75</v>
      </c>
      <c r="B11" s="2" t="s">
        <v>76</v>
      </c>
      <c r="C11" s="2" t="s">
        <v>837</v>
      </c>
      <c r="D11" s="2" t="s">
        <v>838</v>
      </c>
      <c r="AO11" s="2">
        <v>1.1583625078201301</v>
      </c>
      <c r="AQ11" s="2">
        <v>1.1772539615631099</v>
      </c>
      <c r="AS11" s="2">
        <v>1.28616547584534</v>
      </c>
      <c r="AU11" s="2">
        <v>1.2238405942916899</v>
      </c>
      <c r="AV11" s="2">
        <v>1.0559833049774201</v>
      </c>
      <c r="AW11" s="2">
        <v>1.1943244934082</v>
      </c>
      <c r="AX11" s="2">
        <v>0.96619427204132102</v>
      </c>
      <c r="AY11" s="2">
        <v>0.85568583011627197</v>
      </c>
      <c r="AZ11" s="2">
        <v>1.16824507713318</v>
      </c>
      <c r="BA11" s="2">
        <v>1.1863876581192001</v>
      </c>
      <c r="BB11" s="2">
        <v>1.21778512001038</v>
      </c>
      <c r="BC11" s="2">
        <v>1.19792461395264</v>
      </c>
      <c r="BD11" s="2">
        <v>1.3992737531662001</v>
      </c>
      <c r="BE11" s="2">
        <v>1.4011877775192301</v>
      </c>
      <c r="BF11" s="2">
        <v>1.4016153812408401</v>
      </c>
      <c r="BG11" s="2">
        <v>1.63860523700714</v>
      </c>
      <c r="BH11" s="2">
        <v>1.5131918191909799</v>
      </c>
      <c r="BI11" s="2">
        <v>1.5129361152648899</v>
      </c>
      <c r="BJ11" s="2">
        <v>1.5355688333511399</v>
      </c>
      <c r="BK11" s="2">
        <v>1.5365079641342201</v>
      </c>
      <c r="BL11" s="2">
        <v>1.51021492481232</v>
      </c>
      <c r="BM11" s="2">
        <v>1.6151815652847299</v>
      </c>
      <c r="BN11" s="2">
        <v>1.64205121994019</v>
      </c>
      <c r="BO11" s="2">
        <v>1.4854830503463701</v>
      </c>
      <c r="BP11" s="2">
        <v>1.4768989086151101</v>
      </c>
    </row>
    <row r="12" spans="1:69">
      <c r="A12" s="2" t="s">
        <v>77</v>
      </c>
      <c r="B12" s="2" t="s">
        <v>78</v>
      </c>
      <c r="C12" s="2" t="s">
        <v>837</v>
      </c>
      <c r="D12" s="2" t="s">
        <v>838</v>
      </c>
    </row>
    <row r="13" spans="1:69">
      <c r="A13" s="2" t="s">
        <v>79</v>
      </c>
      <c r="B13" s="2" t="s">
        <v>80</v>
      </c>
      <c r="C13" s="2" t="s">
        <v>837</v>
      </c>
      <c r="D13" s="2" t="s">
        <v>838</v>
      </c>
      <c r="AO13" s="2">
        <v>0.68841397762298595</v>
      </c>
      <c r="AQ13" s="2">
        <v>0.71609294414520297</v>
      </c>
      <c r="AS13" s="2">
        <v>0.65575289726257302</v>
      </c>
      <c r="AU13" s="2">
        <v>0.702703297138214</v>
      </c>
      <c r="AV13" s="2">
        <v>0.54480630159378096</v>
      </c>
      <c r="AW13" s="2">
        <v>0.433262318372726</v>
      </c>
      <c r="AX13" s="2">
        <v>0.38957577943801902</v>
      </c>
      <c r="AY13" s="2">
        <v>0.31153592467308</v>
      </c>
      <c r="AZ13" s="2">
        <v>0.27476608753204301</v>
      </c>
      <c r="BA13" s="2">
        <v>0.41721999645233199</v>
      </c>
      <c r="BB13" s="2">
        <v>0.39927873015403698</v>
      </c>
      <c r="BC13" s="2">
        <v>0.31741413474082902</v>
      </c>
      <c r="BD13" s="2">
        <v>0.49854710698127702</v>
      </c>
      <c r="BE13" s="2">
        <v>0.53435963392257702</v>
      </c>
      <c r="BF13" s="2">
        <v>0.61342847347259499</v>
      </c>
      <c r="BG13" s="2">
        <v>0.65100246667861905</v>
      </c>
      <c r="BH13" s="2">
        <v>0.61416161060333296</v>
      </c>
      <c r="BI13" s="2">
        <v>0.81903797388076804</v>
      </c>
      <c r="BJ13" s="2">
        <v>0.76833498477935802</v>
      </c>
      <c r="BK13" s="2">
        <v>0.77424514293670699</v>
      </c>
      <c r="BL13" s="2">
        <v>0.808277487754822</v>
      </c>
      <c r="BM13" s="2">
        <v>0.875135958194733</v>
      </c>
      <c r="BN13" s="2">
        <v>0.79896831512451205</v>
      </c>
      <c r="BO13" s="2">
        <v>0.83605653047561601</v>
      </c>
      <c r="BP13" s="2">
        <v>0.88190013170242298</v>
      </c>
    </row>
    <row r="14" spans="1:69">
      <c r="A14" s="2" t="s">
        <v>81</v>
      </c>
      <c r="B14" s="2" t="s">
        <v>82</v>
      </c>
      <c r="C14" s="2" t="s">
        <v>837</v>
      </c>
      <c r="D14" s="2" t="s">
        <v>838</v>
      </c>
      <c r="AO14" s="2">
        <v>7.5552642345428495E-2</v>
      </c>
      <c r="AQ14" s="2">
        <v>-3.8881577551364899E-2</v>
      </c>
      <c r="AS14" s="2">
        <v>-0.21440449357032801</v>
      </c>
      <c r="AU14" s="2">
        <v>-0.76109808683395397</v>
      </c>
      <c r="AV14" s="2">
        <v>-0.77711582183837902</v>
      </c>
      <c r="AW14" s="2">
        <v>-0.76738017797470104</v>
      </c>
      <c r="AX14" s="2">
        <v>-0.55799108743667603</v>
      </c>
      <c r="AY14" s="2">
        <v>-0.57701563835143999</v>
      </c>
      <c r="AZ14" s="2">
        <v>-0.60147225856780995</v>
      </c>
      <c r="BA14" s="2">
        <v>-0.69973164796829201</v>
      </c>
      <c r="BB14" s="2">
        <v>-0.69446808099746704</v>
      </c>
      <c r="BC14" s="2">
        <v>-0.59809422492981001</v>
      </c>
      <c r="BD14" s="2">
        <v>-0.56312328577041604</v>
      </c>
      <c r="BE14" s="2">
        <v>-0.62303423881530795</v>
      </c>
      <c r="BF14" s="2">
        <v>-0.65632861852645896</v>
      </c>
      <c r="BG14" s="2">
        <v>-0.86662733554840099</v>
      </c>
      <c r="BH14" s="2">
        <v>-0.74863588809966997</v>
      </c>
      <c r="BI14" s="2">
        <v>-0.32015952467918402</v>
      </c>
      <c r="BJ14" s="2">
        <v>-0.23731203377246901</v>
      </c>
      <c r="BK14" s="2">
        <v>-0.219330430030823</v>
      </c>
      <c r="BL14" s="2">
        <v>-0.42736044526100198</v>
      </c>
      <c r="BM14" s="2">
        <v>-0.48626595735549899</v>
      </c>
      <c r="BN14" s="2">
        <v>-0.47794789075851402</v>
      </c>
      <c r="BO14" s="2">
        <v>-0.48235180974006697</v>
      </c>
      <c r="BP14" s="2">
        <v>-0.41082653403282199</v>
      </c>
    </row>
    <row r="15" spans="1:69">
      <c r="A15" s="2" t="s">
        <v>20</v>
      </c>
      <c r="B15" s="2" t="s">
        <v>83</v>
      </c>
      <c r="C15" s="2" t="s">
        <v>837</v>
      </c>
      <c r="D15" s="2" t="s">
        <v>838</v>
      </c>
      <c r="AO15" s="2">
        <v>-0.46909850835800199</v>
      </c>
      <c r="AQ15" s="2">
        <v>-0.38085678219795199</v>
      </c>
      <c r="AS15" s="2">
        <v>-0.50101625919341997</v>
      </c>
      <c r="AU15" s="2">
        <v>-0.43853136897087103</v>
      </c>
      <c r="AV15" s="2">
        <v>-0.302864640951157</v>
      </c>
      <c r="AW15" s="2">
        <v>-0.48195061087608299</v>
      </c>
      <c r="AX15" s="2">
        <v>-0.38877674937248202</v>
      </c>
      <c r="AY15" s="2">
        <v>-0.54456734657287598</v>
      </c>
      <c r="AZ15" s="2">
        <v>-0.49651804566383401</v>
      </c>
      <c r="BA15" s="2">
        <v>-0.33775135874748202</v>
      </c>
      <c r="BB15" s="2">
        <v>-0.46871069073677102</v>
      </c>
      <c r="BC15" s="2">
        <v>-0.48135831952094998</v>
      </c>
      <c r="BD15" s="2">
        <v>-0.43770641088485701</v>
      </c>
      <c r="BE15" s="2">
        <v>-0.41828197240829501</v>
      </c>
      <c r="BF15" s="2">
        <v>-0.34088894724845897</v>
      </c>
      <c r="BG15" s="2">
        <v>-0.41772675514221203</v>
      </c>
      <c r="BH15" s="2">
        <v>-0.46255132555961598</v>
      </c>
      <c r="BI15" s="2">
        <v>-0.16089449822902699</v>
      </c>
      <c r="BJ15" s="2">
        <v>-0.20939391851425199</v>
      </c>
      <c r="BK15" s="2">
        <v>-0.197214365005493</v>
      </c>
      <c r="BL15" s="2">
        <v>-0.177464514970779</v>
      </c>
      <c r="BM15" s="2">
        <v>-0.12583142518997201</v>
      </c>
      <c r="BN15" s="2">
        <v>-0.119838461279869</v>
      </c>
      <c r="BO15" s="2">
        <v>-0.16951580345630601</v>
      </c>
      <c r="BP15" s="2">
        <v>-0.122017979621887</v>
      </c>
    </row>
    <row r="16" spans="1:69">
      <c r="A16" s="2" t="s">
        <v>84</v>
      </c>
      <c r="B16" s="2" t="s">
        <v>85</v>
      </c>
      <c r="C16" s="2" t="s">
        <v>837</v>
      </c>
      <c r="D16" s="2" t="s">
        <v>838</v>
      </c>
      <c r="AW16" s="2">
        <v>0.83959645032882702</v>
      </c>
      <c r="AX16" s="2">
        <v>1.1094154119491599</v>
      </c>
      <c r="AY16" s="2">
        <v>1.0692214965820299</v>
      </c>
      <c r="AZ16" s="2">
        <v>1.09091985225677</v>
      </c>
      <c r="BA16" s="2">
        <v>1.1179795265197801</v>
      </c>
      <c r="BB16" s="2">
        <v>1.1250547170639</v>
      </c>
      <c r="BC16" s="2">
        <v>1.1112082004547099</v>
      </c>
      <c r="BD16" s="2">
        <v>1.09095239639282</v>
      </c>
      <c r="BE16" s="2">
        <v>1.0963672399520901</v>
      </c>
      <c r="BF16" s="2">
        <v>1.1014382839202901</v>
      </c>
      <c r="BG16" s="2">
        <v>1.4073128700256301</v>
      </c>
      <c r="BH16" s="2">
        <v>1.28552782535553</v>
      </c>
      <c r="BI16" s="2">
        <v>1.27915823459625</v>
      </c>
      <c r="BJ16" s="2">
        <v>1.2953011989593499</v>
      </c>
      <c r="BK16" s="2">
        <v>1.2965961694717401</v>
      </c>
      <c r="BL16" s="2">
        <v>1.2682017087936399</v>
      </c>
      <c r="BM16" s="2">
        <v>1.1184880733489999</v>
      </c>
      <c r="BN16" s="2">
        <v>1.13875997066498</v>
      </c>
      <c r="BO16" s="2">
        <v>1.2211159467697099</v>
      </c>
      <c r="BP16" s="2">
        <v>1.21249115467072</v>
      </c>
    </row>
    <row r="17" spans="1:68">
      <c r="A17" s="2" t="s">
        <v>86</v>
      </c>
      <c r="B17" s="2" t="s">
        <v>87</v>
      </c>
      <c r="C17" s="2" t="s">
        <v>837</v>
      </c>
      <c r="D17" s="2" t="s">
        <v>838</v>
      </c>
      <c r="AO17" s="2">
        <v>1.0508449077606199</v>
      </c>
      <c r="AQ17" s="2">
        <v>1.0535631179809599</v>
      </c>
      <c r="AS17" s="2">
        <v>1.0349035263061499</v>
      </c>
      <c r="AU17" s="2">
        <v>1.03455221652985</v>
      </c>
      <c r="AV17" s="2">
        <v>1.0379496812820399</v>
      </c>
      <c r="AW17" s="2">
        <v>0.90843373537063599</v>
      </c>
      <c r="AX17" s="2">
        <v>0.65924423933029197</v>
      </c>
      <c r="AY17" s="2">
        <v>0.921211838722229</v>
      </c>
      <c r="AZ17" s="2">
        <v>0.89350318908691395</v>
      </c>
      <c r="BA17" s="2">
        <v>0.93793940544128396</v>
      </c>
      <c r="BB17" s="2">
        <v>0.972667455673218</v>
      </c>
      <c r="BC17" s="2">
        <v>0.952869892120361</v>
      </c>
      <c r="BD17" s="2">
        <v>0.94209474325180098</v>
      </c>
      <c r="BE17" s="2">
        <v>0.94571900367736805</v>
      </c>
      <c r="BF17" s="2">
        <v>0.83178681135177601</v>
      </c>
      <c r="BG17" s="2">
        <v>-0.17578420042991599</v>
      </c>
      <c r="BH17" s="2">
        <v>0.55307686328887895</v>
      </c>
      <c r="BI17" s="2">
        <v>0.47271642088890098</v>
      </c>
      <c r="BJ17" s="2">
        <v>0.40701898932456998</v>
      </c>
      <c r="BK17" s="2">
        <v>0.37643349170684798</v>
      </c>
      <c r="BL17" s="2">
        <v>0.363515615463257</v>
      </c>
      <c r="BM17" s="2">
        <v>0.40738114714622498</v>
      </c>
      <c r="BN17" s="2">
        <v>0.303150534629822</v>
      </c>
      <c r="BO17" s="2">
        <v>0.39078712463378901</v>
      </c>
      <c r="BP17" s="2">
        <v>0.37859317660331698</v>
      </c>
    </row>
    <row r="18" spans="1:68">
      <c r="A18" s="2" t="s">
        <v>88</v>
      </c>
      <c r="B18" s="2" t="s">
        <v>89</v>
      </c>
      <c r="C18" s="2" t="s">
        <v>837</v>
      </c>
      <c r="D18" s="2" t="s">
        <v>838</v>
      </c>
      <c r="AO18" s="2">
        <v>1.7133990526199301</v>
      </c>
      <c r="AQ18" s="2">
        <v>1.7568027973175</v>
      </c>
      <c r="AS18" s="2">
        <v>1.72206687927246</v>
      </c>
      <c r="AU18" s="2">
        <v>1.76704657077789</v>
      </c>
      <c r="AV18" s="2">
        <v>1.8427721261978101</v>
      </c>
      <c r="AW18" s="2">
        <v>1.79539239406586</v>
      </c>
      <c r="AX18" s="2">
        <v>1.71280241012573</v>
      </c>
      <c r="AY18" s="2">
        <v>1.7567385435104399</v>
      </c>
      <c r="AZ18" s="2">
        <v>1.7438874244689899</v>
      </c>
      <c r="BA18" s="2">
        <v>1.75908350944519</v>
      </c>
      <c r="BB18" s="2">
        <v>1.7330087423324601</v>
      </c>
      <c r="BC18" s="2">
        <v>1.75771832466125</v>
      </c>
      <c r="BD18" s="2">
        <v>1.73315370082855</v>
      </c>
      <c r="BE18" s="2">
        <v>1.7597795724868801</v>
      </c>
      <c r="BF18" s="2">
        <v>1.7701008319854701</v>
      </c>
      <c r="BG18" s="2">
        <v>1.9186308383941699</v>
      </c>
      <c r="BH18" s="2">
        <v>1.7903206348419201</v>
      </c>
      <c r="BI18" s="2">
        <v>1.7166656255721999</v>
      </c>
      <c r="BJ18" s="2">
        <v>1.64595770835876</v>
      </c>
      <c r="BK18" s="2">
        <v>1.67466557025909</v>
      </c>
      <c r="BL18" s="2">
        <v>1.6946170330047601</v>
      </c>
      <c r="BM18" s="2">
        <v>1.6150035858154299</v>
      </c>
      <c r="BN18" s="2">
        <v>1.6385596990585301</v>
      </c>
      <c r="BO18" s="2">
        <v>1.5088187456130999</v>
      </c>
      <c r="BP18" s="2">
        <v>1.5231839418411299</v>
      </c>
    </row>
    <row r="19" spans="1:68">
      <c r="A19" s="2" t="s">
        <v>90</v>
      </c>
      <c r="B19" s="2" t="s">
        <v>91</v>
      </c>
      <c r="C19" s="2" t="s">
        <v>837</v>
      </c>
      <c r="D19" s="2" t="s">
        <v>838</v>
      </c>
      <c r="AO19" s="2">
        <v>1.8081530332565301</v>
      </c>
      <c r="AQ19" s="2">
        <v>1.8032879829406701</v>
      </c>
      <c r="AS19" s="2">
        <v>1.81233263015747</v>
      </c>
      <c r="AU19" s="2">
        <v>1.8579126596450799</v>
      </c>
      <c r="AV19" s="2">
        <v>1.84791743755341</v>
      </c>
      <c r="AW19" s="2">
        <v>1.8166643381118801</v>
      </c>
      <c r="AX19" s="2">
        <v>1.8472495079040501</v>
      </c>
      <c r="AY19" s="2">
        <v>1.8997688293457</v>
      </c>
      <c r="AZ19" s="2">
        <v>1.9418256282806401</v>
      </c>
      <c r="BA19" s="2">
        <v>1.91069889068604</v>
      </c>
      <c r="BB19" s="2">
        <v>1.77744269371033</v>
      </c>
      <c r="BC19" s="2">
        <v>1.80120265483856</v>
      </c>
      <c r="BD19" s="2">
        <v>1.7989630699157699</v>
      </c>
      <c r="BE19" s="2">
        <v>1.8571237325668299</v>
      </c>
      <c r="BF19" s="2">
        <v>1.83409059047699</v>
      </c>
      <c r="BG19" s="2">
        <v>1.9384361505508401</v>
      </c>
      <c r="BH19" s="2">
        <v>1.81477534770966</v>
      </c>
      <c r="BI19" s="2">
        <v>1.7614618539810201</v>
      </c>
      <c r="BJ19" s="2">
        <v>1.8003545999527</v>
      </c>
      <c r="BK19" s="2">
        <v>1.85348308086395</v>
      </c>
      <c r="BL19" s="2">
        <v>1.86229813098907</v>
      </c>
      <c r="BM19" s="2">
        <v>1.77060890197754</v>
      </c>
      <c r="BN19" s="2">
        <v>1.75175452232361</v>
      </c>
      <c r="BO19" s="2">
        <v>1.70427322387695</v>
      </c>
      <c r="BP19" s="2">
        <v>1.74656546115875</v>
      </c>
    </row>
    <row r="20" spans="1:68">
      <c r="A20" s="2" t="s">
        <v>25</v>
      </c>
      <c r="B20" s="2" t="s">
        <v>92</v>
      </c>
      <c r="C20" s="2" t="s">
        <v>837</v>
      </c>
      <c r="D20" s="2" t="s">
        <v>838</v>
      </c>
      <c r="AO20" s="2">
        <v>-1.20116150379181</v>
      </c>
      <c r="AQ20" s="2">
        <v>-1.12161064147949</v>
      </c>
      <c r="AS20" s="2">
        <v>-1.14563620090485</v>
      </c>
      <c r="AU20" s="2">
        <v>-0.964197218418121</v>
      </c>
      <c r="AV20" s="2">
        <v>-0.88464474678039595</v>
      </c>
      <c r="AW20" s="2">
        <v>-0.90051847696304299</v>
      </c>
      <c r="AX20" s="2">
        <v>-0.79261243343353305</v>
      </c>
      <c r="AY20" s="2">
        <v>-0.88592922687530495</v>
      </c>
      <c r="AZ20" s="2">
        <v>-0.88002038002014205</v>
      </c>
      <c r="BA20" s="2">
        <v>-0.83616048097610496</v>
      </c>
      <c r="BB20" s="2">
        <v>-0.87917602062225297</v>
      </c>
      <c r="BC20" s="2">
        <v>-0.89114505052566495</v>
      </c>
      <c r="BD20" s="2">
        <v>-0.93872648477554299</v>
      </c>
      <c r="BE20" s="2">
        <v>-0.87953269481658902</v>
      </c>
      <c r="BF20" s="2">
        <v>-0.75626069307327304</v>
      </c>
      <c r="BG20" s="2">
        <v>-0.69701200723648105</v>
      </c>
      <c r="BH20" s="2">
        <v>-0.71654456853866599</v>
      </c>
      <c r="BI20" s="2">
        <v>-0.53935629129409801</v>
      </c>
      <c r="BJ20" s="2">
        <v>-0.58492249250411998</v>
      </c>
      <c r="BK20" s="2">
        <v>-0.619800806045532</v>
      </c>
      <c r="BL20" s="2">
        <v>-0.61042803525924705</v>
      </c>
      <c r="BM20" s="2">
        <v>-0.72964274883270297</v>
      </c>
      <c r="BN20" s="2">
        <v>-0.60676503181457497</v>
      </c>
      <c r="BO20" s="2">
        <v>-0.625552177429199</v>
      </c>
      <c r="BP20" s="2">
        <v>-0.56658607721328702</v>
      </c>
    </row>
    <row r="21" spans="1:68">
      <c r="A21" s="2" t="s">
        <v>93</v>
      </c>
      <c r="B21" s="2" t="s">
        <v>94</v>
      </c>
      <c r="C21" s="2" t="s">
        <v>837</v>
      </c>
      <c r="D21" s="2" t="s">
        <v>838</v>
      </c>
      <c r="AO21" s="2">
        <v>-1.41612029075623</v>
      </c>
      <c r="AQ21" s="2">
        <v>-1.3787856101989699</v>
      </c>
      <c r="AS21" s="2">
        <v>-1.5685170888900799</v>
      </c>
      <c r="AU21" s="2">
        <v>-1.3980020284652701</v>
      </c>
      <c r="AV21" s="2">
        <v>-1.48403012752533</v>
      </c>
      <c r="AW21" s="2">
        <v>-1.4799505472183201</v>
      </c>
      <c r="AX21" s="2">
        <v>-1.12846672534943</v>
      </c>
      <c r="AY21" s="2">
        <v>-0.98323827981948897</v>
      </c>
      <c r="AZ21" s="2">
        <v>-1.0786669254303001</v>
      </c>
      <c r="BA21" s="2">
        <v>-1.0381000041961701</v>
      </c>
      <c r="BB21" s="2">
        <v>-1.15993535518646</v>
      </c>
      <c r="BC21" s="2">
        <v>-1.20540106296539</v>
      </c>
      <c r="BD21" s="2">
        <v>-1.1538043022155799</v>
      </c>
      <c r="BE21" s="2">
        <v>-1.08392977714539</v>
      </c>
      <c r="BF21" s="2">
        <v>-1.07663321495056</v>
      </c>
      <c r="BG21" s="2">
        <v>-0.97056686878204301</v>
      </c>
      <c r="BH21" s="2">
        <v>-1.1858997344970701</v>
      </c>
      <c r="BI21" s="2">
        <v>-1.4843937158584599</v>
      </c>
      <c r="BJ21" s="2">
        <v>-1.4110038280487101</v>
      </c>
      <c r="BK21" s="2">
        <v>-1.5138199329376201</v>
      </c>
      <c r="BL21" s="2">
        <v>-1.4536273479461701</v>
      </c>
      <c r="BM21" s="2">
        <v>-1.3406509160995499</v>
      </c>
      <c r="BN21" s="2">
        <v>-1.3125910758972199</v>
      </c>
      <c r="BO21" s="2">
        <v>-1.2765462398529099</v>
      </c>
      <c r="BP21" s="2">
        <v>-1.2510563135147099</v>
      </c>
    </row>
    <row r="22" spans="1:68">
      <c r="A22" s="2" t="s">
        <v>95</v>
      </c>
      <c r="B22" s="2" t="s">
        <v>96</v>
      </c>
      <c r="C22" s="2" t="s">
        <v>837</v>
      </c>
      <c r="D22" s="2" t="s">
        <v>838</v>
      </c>
      <c r="AO22" s="2">
        <v>1.3669466972351101</v>
      </c>
      <c r="AQ22" s="2">
        <v>1.21820557117462</v>
      </c>
      <c r="AS22" s="2">
        <v>1.3139340877532999</v>
      </c>
      <c r="AU22" s="2">
        <v>1.3449356555938701</v>
      </c>
      <c r="AV22" s="2">
        <v>1.3310965299606301</v>
      </c>
      <c r="AW22" s="2">
        <v>1.31122982501984</v>
      </c>
      <c r="AX22" s="2">
        <v>1.25764083862305</v>
      </c>
      <c r="AY22" s="2">
        <v>1.2245995998382599</v>
      </c>
      <c r="AZ22" s="2">
        <v>1.3153872489929199</v>
      </c>
      <c r="BA22" s="2">
        <v>1.33520579338074</v>
      </c>
      <c r="BB22" s="2">
        <v>1.37714815139771</v>
      </c>
      <c r="BC22" s="2">
        <v>1.41785252094269</v>
      </c>
      <c r="BD22" s="2">
        <v>1.43484890460968</v>
      </c>
      <c r="BE22" s="2">
        <v>1.4488096237182599</v>
      </c>
      <c r="BF22" s="2">
        <v>1.45676612854004</v>
      </c>
      <c r="BG22" s="2">
        <v>1.54851686954498</v>
      </c>
      <c r="BH22" s="2">
        <v>1.45622563362122</v>
      </c>
      <c r="BI22" s="2">
        <v>1.39380347728729</v>
      </c>
      <c r="BJ22" s="2">
        <v>1.3206259012222299</v>
      </c>
      <c r="BK22" s="2">
        <v>1.3385925292968801</v>
      </c>
      <c r="BL22" s="2">
        <v>1.3361576795578001</v>
      </c>
      <c r="BM22" s="2">
        <v>1.3275940418243399</v>
      </c>
      <c r="BN22" s="2">
        <v>1.29177582263947</v>
      </c>
      <c r="BO22" s="2">
        <v>1.3482308387756301</v>
      </c>
      <c r="BP22" s="2">
        <v>1.2953748703002901</v>
      </c>
    </row>
    <row r="23" spans="1:68">
      <c r="A23" s="2" t="s">
        <v>97</v>
      </c>
      <c r="B23" s="2" t="s">
        <v>98</v>
      </c>
      <c r="C23" s="2" t="s">
        <v>837</v>
      </c>
      <c r="D23" s="2" t="s">
        <v>838</v>
      </c>
      <c r="AO23" s="2">
        <v>5.2315507084131199E-2</v>
      </c>
      <c r="AQ23" s="2">
        <v>5.0550632178783403E-2</v>
      </c>
      <c r="AS23" s="2">
        <v>-0.18152372539043399</v>
      </c>
      <c r="AU23" s="2">
        <v>-0.260578572750092</v>
      </c>
      <c r="AV23" s="2">
        <v>-0.42570602893829301</v>
      </c>
      <c r="AW23" s="2">
        <v>-0.47660157084464999</v>
      </c>
      <c r="AX23" s="2">
        <v>-0.53401976823806796</v>
      </c>
      <c r="AY23" s="2">
        <v>-0.53156977891921997</v>
      </c>
      <c r="AZ23" s="2">
        <v>-0.51314514875411998</v>
      </c>
      <c r="BA23" s="2">
        <v>-0.53070306777954102</v>
      </c>
      <c r="BB23" s="2">
        <v>-0.65431421995162997</v>
      </c>
      <c r="BC23" s="2">
        <v>-0.67368590831756603</v>
      </c>
      <c r="BD23" s="2">
        <v>-0.65894508361816395</v>
      </c>
      <c r="BE23" s="2">
        <v>-0.57493627071380604</v>
      </c>
      <c r="BF23" s="2">
        <v>-0.56817883253097501</v>
      </c>
      <c r="BG23" s="2">
        <v>-0.48557427525520303</v>
      </c>
      <c r="BH23" s="2">
        <v>-0.55559247732162498</v>
      </c>
      <c r="BI23" s="2">
        <v>-0.62707704305648804</v>
      </c>
      <c r="BJ23" s="2">
        <v>-0.64550292491912797</v>
      </c>
      <c r="BK23" s="2">
        <v>-0.69226175546646096</v>
      </c>
      <c r="BL23" s="2">
        <v>-0.67548412084579501</v>
      </c>
      <c r="BM23" s="2">
        <v>-0.76691859960555997</v>
      </c>
      <c r="BN23" s="2">
        <v>-0.62695688009262096</v>
      </c>
      <c r="BO23" s="2">
        <v>-0.59610939025878895</v>
      </c>
      <c r="BP23" s="2">
        <v>-0.505709648132324</v>
      </c>
    </row>
    <row r="24" spans="1:68">
      <c r="A24" s="2" t="s">
        <v>99</v>
      </c>
      <c r="B24" s="2" t="s">
        <v>100</v>
      </c>
      <c r="C24" s="2" t="s">
        <v>837</v>
      </c>
      <c r="D24" s="2" t="s">
        <v>838</v>
      </c>
      <c r="AO24" s="2">
        <v>-0.93322163820266701</v>
      </c>
      <c r="AQ24" s="2">
        <v>-0.91285926103591897</v>
      </c>
      <c r="AS24" s="2">
        <v>-0.73238408565521196</v>
      </c>
      <c r="AU24" s="2">
        <v>-0.79984855651855502</v>
      </c>
      <c r="AV24" s="2">
        <v>-0.62417757511138905</v>
      </c>
      <c r="AW24" s="2">
        <v>-0.53574341535568204</v>
      </c>
      <c r="AX24" s="2">
        <v>-0.50052112340927102</v>
      </c>
      <c r="AY24" s="2">
        <v>-0.43382346630096402</v>
      </c>
      <c r="AZ24" s="2">
        <v>-0.39582595229148898</v>
      </c>
      <c r="BA24" s="2">
        <v>-0.34468153119087203</v>
      </c>
      <c r="BB24" s="2">
        <v>-0.20417246222495999</v>
      </c>
      <c r="BC24" s="2">
        <v>-0.19490505754947701</v>
      </c>
      <c r="BD24" s="2">
        <v>-0.35039889812469499</v>
      </c>
      <c r="BE24" s="2">
        <v>-0.42585510015487699</v>
      </c>
      <c r="BF24" s="2">
        <v>-0.52672994136810303</v>
      </c>
      <c r="BG24" s="2">
        <v>-0.545770764350891</v>
      </c>
      <c r="BH24" s="2">
        <v>-0.54112863540649403</v>
      </c>
      <c r="BI24" s="2">
        <v>-0.45529830455780002</v>
      </c>
      <c r="BJ24" s="2">
        <v>-0.41496333479881298</v>
      </c>
      <c r="BK24" s="2">
        <v>-0.459257543087006</v>
      </c>
      <c r="BL24" s="2">
        <v>-0.463833779096603</v>
      </c>
      <c r="BM24" s="2">
        <v>-0.46871858835220298</v>
      </c>
      <c r="BN24" s="2">
        <v>-0.46313875913620001</v>
      </c>
      <c r="BO24" s="2">
        <v>-0.61193376779556297</v>
      </c>
      <c r="BP24" s="2">
        <v>-0.74177896976470903</v>
      </c>
    </row>
    <row r="25" spans="1:68">
      <c r="A25" s="2" t="s">
        <v>101</v>
      </c>
      <c r="B25" s="2" t="s">
        <v>102</v>
      </c>
      <c r="C25" s="2" t="s">
        <v>837</v>
      </c>
      <c r="D25" s="2" t="s">
        <v>838</v>
      </c>
      <c r="AO25" s="2">
        <v>-0.93402373790741</v>
      </c>
      <c r="AQ25" s="2">
        <v>-0.93586450815200795</v>
      </c>
      <c r="AS25" s="2">
        <v>-0.99112999439239502</v>
      </c>
      <c r="AU25" s="2">
        <v>-0.99160122871398904</v>
      </c>
      <c r="AV25" s="2">
        <v>-1.15194392204285</v>
      </c>
      <c r="AW25" s="2">
        <v>-1.12248206138611</v>
      </c>
      <c r="AX25" s="2">
        <v>-0.97855186462402299</v>
      </c>
      <c r="AY25" s="2">
        <v>-0.90756404399871804</v>
      </c>
      <c r="AZ25" s="2">
        <v>-0.82715594768524203</v>
      </c>
      <c r="BA25" s="2">
        <v>-0.75237357616424605</v>
      </c>
      <c r="BB25" s="2">
        <v>-0.78457146883010898</v>
      </c>
      <c r="BC25" s="2">
        <v>-0.80101329088211104</v>
      </c>
      <c r="BD25" s="2">
        <v>-0.73333555459976196</v>
      </c>
      <c r="BE25" s="2">
        <v>-0.93616735935211204</v>
      </c>
      <c r="BF25" s="2">
        <v>-0.87157988548278797</v>
      </c>
      <c r="BG25" s="2">
        <v>-0.78235679864883401</v>
      </c>
      <c r="BH25" s="2">
        <v>-0.76960533857345603</v>
      </c>
      <c r="BI25" s="2">
        <v>-0.66950052976608299</v>
      </c>
      <c r="BJ25" s="2">
        <v>-0.67966032028198198</v>
      </c>
      <c r="BK25" s="2">
        <v>-0.64921671152114901</v>
      </c>
      <c r="BL25" s="2">
        <v>-0.64347499608993497</v>
      </c>
      <c r="BM25" s="2">
        <v>-0.56553119421005205</v>
      </c>
      <c r="BN25" s="2">
        <v>-0.62569397687911998</v>
      </c>
      <c r="BO25" s="2">
        <v>-0.601690113544464</v>
      </c>
      <c r="BP25" s="2">
        <v>-0.50265723466873202</v>
      </c>
    </row>
    <row r="26" spans="1:68">
      <c r="A26" s="2" t="s">
        <v>103</v>
      </c>
      <c r="B26" s="2" t="s">
        <v>104</v>
      </c>
      <c r="C26" s="2" t="s">
        <v>837</v>
      </c>
      <c r="D26" s="2" t="s">
        <v>838</v>
      </c>
      <c r="AO26" s="2">
        <v>-0.34495800733566301</v>
      </c>
      <c r="AQ26" s="2">
        <v>-0.222114488482475</v>
      </c>
      <c r="AS26" s="2">
        <v>-0.12377707660198201</v>
      </c>
      <c r="AU26" s="2">
        <v>-5.6049991399049801E-2</v>
      </c>
      <c r="AV26" s="2">
        <v>-0.17199176549911499</v>
      </c>
      <c r="AW26" s="2">
        <v>-0.118167765438557</v>
      </c>
      <c r="AX26" s="2">
        <v>-0.108557619154453</v>
      </c>
      <c r="AY26" s="2">
        <v>-0.108846172690392</v>
      </c>
      <c r="AZ26" s="2">
        <v>-5.7684425264596897E-2</v>
      </c>
      <c r="BA26" s="2">
        <v>-0.12108802050352099</v>
      </c>
      <c r="BB26" s="2">
        <v>-4.0312353521585499E-2</v>
      </c>
      <c r="BC26" s="2">
        <v>-9.7061358392238603E-2</v>
      </c>
      <c r="BD26" s="2">
        <v>-0.141564160585403</v>
      </c>
      <c r="BE26" s="2">
        <v>-0.115051358938217</v>
      </c>
      <c r="BF26" s="2">
        <v>-0.147255629301071</v>
      </c>
      <c r="BG26" s="2">
        <v>-8.2029148936271695E-2</v>
      </c>
      <c r="BH26" s="2">
        <v>-0.15949355065822601</v>
      </c>
      <c r="BI26" s="2">
        <v>-0.14044380187988301</v>
      </c>
      <c r="BJ26" s="2">
        <v>-0.1249605640769</v>
      </c>
      <c r="BK26" s="2">
        <v>-0.105849832296371</v>
      </c>
      <c r="BL26" s="2">
        <v>-3.7413392215967199E-2</v>
      </c>
      <c r="BM26" s="2">
        <v>-0.127672985196114</v>
      </c>
      <c r="BN26" s="2">
        <v>-6.8868450820446001E-2</v>
      </c>
      <c r="BO26" s="2">
        <v>-0.107922710478306</v>
      </c>
      <c r="BP26" s="2">
        <v>-6.8576806224882603E-3</v>
      </c>
    </row>
    <row r="27" spans="1:68">
      <c r="A27" s="2" t="s">
        <v>105</v>
      </c>
      <c r="B27" s="2" t="s">
        <v>106</v>
      </c>
      <c r="C27" s="2" t="s">
        <v>837</v>
      </c>
      <c r="D27" s="2" t="s">
        <v>838</v>
      </c>
      <c r="AO27" s="2">
        <v>-1.0116266086697599E-2</v>
      </c>
      <c r="AQ27" s="2">
        <v>0.35234647989273099</v>
      </c>
      <c r="AS27" s="2">
        <v>0.28027963638305697</v>
      </c>
      <c r="AU27" s="2">
        <v>0.54550260305404696</v>
      </c>
      <c r="AV27" s="2">
        <v>0.59370875358581499</v>
      </c>
      <c r="AW27" s="2">
        <v>0.69661766290664695</v>
      </c>
      <c r="AX27" s="2">
        <v>0.59705591201782204</v>
      </c>
      <c r="AY27" s="2">
        <v>0.37095192074775701</v>
      </c>
      <c r="AZ27" s="2">
        <v>0.52136987447738603</v>
      </c>
      <c r="BA27" s="2">
        <v>0.52541184425354004</v>
      </c>
      <c r="BB27" s="2">
        <v>0.51149266958236705</v>
      </c>
      <c r="BC27" s="2">
        <v>0.429740220308304</v>
      </c>
      <c r="BD27" s="2">
        <v>0.34645238518714899</v>
      </c>
      <c r="BE27" s="2">
        <v>0.25365015864372298</v>
      </c>
      <c r="BF27" s="2">
        <v>0.32632654905319203</v>
      </c>
      <c r="BG27" s="2">
        <v>0.41311603784561202</v>
      </c>
      <c r="BH27" s="2">
        <v>0.40028071403503401</v>
      </c>
      <c r="BI27" s="2">
        <v>0.43052756786346402</v>
      </c>
      <c r="BJ27" s="2">
        <v>0.41961556673049899</v>
      </c>
      <c r="BK27" s="2">
        <v>0.38408353924751298</v>
      </c>
      <c r="BL27" s="2">
        <v>0.464022487401962</v>
      </c>
      <c r="BM27" s="2">
        <v>0.45458641648292503</v>
      </c>
      <c r="BN27" s="2">
        <v>0.44151598215103099</v>
      </c>
      <c r="BO27" s="2">
        <v>0.43830931186675998</v>
      </c>
      <c r="BP27" s="2">
        <v>0.46877044439315801</v>
      </c>
    </row>
    <row r="28" spans="1:68">
      <c r="A28" s="2" t="s">
        <v>107</v>
      </c>
      <c r="B28" s="2" t="s">
        <v>108</v>
      </c>
      <c r="C28" s="2" t="s">
        <v>837</v>
      </c>
      <c r="D28" s="2" t="s">
        <v>838</v>
      </c>
      <c r="AO28" s="2">
        <v>1.14636123180389</v>
      </c>
      <c r="AQ28" s="2">
        <v>1.25856113433838</v>
      </c>
      <c r="AS28" s="2">
        <v>1.29082238674164</v>
      </c>
      <c r="AU28" s="2">
        <v>1.4009810686111499</v>
      </c>
      <c r="AV28" s="2">
        <v>1.41872799396515</v>
      </c>
      <c r="AW28" s="2">
        <v>1.3821536302566499</v>
      </c>
      <c r="AX28" s="2">
        <v>1.3669136762619001</v>
      </c>
      <c r="AY28" s="2">
        <v>1.0757133960723899</v>
      </c>
      <c r="AZ28" s="2">
        <v>1.25134766101837</v>
      </c>
      <c r="BA28" s="2">
        <v>1.1856660842895499</v>
      </c>
      <c r="BB28" s="2">
        <v>0.79056960344314597</v>
      </c>
      <c r="BC28" s="2">
        <v>0.71639043092727706</v>
      </c>
      <c r="BD28" s="2">
        <v>0.61066406965255704</v>
      </c>
      <c r="BE28" s="2">
        <v>0.61443954706192005</v>
      </c>
      <c r="BF28" s="2">
        <v>0.63205945491790805</v>
      </c>
      <c r="BG28" s="2">
        <v>0.66378039121627797</v>
      </c>
      <c r="BH28" s="2">
        <v>0.56819462776184104</v>
      </c>
      <c r="BI28" s="2">
        <v>0.23302155733108501</v>
      </c>
      <c r="BJ28" s="2">
        <v>0.16233372688293499</v>
      </c>
      <c r="BK28" s="2">
        <v>6.8974435329437297E-2</v>
      </c>
      <c r="BL28" s="2">
        <v>4.5315820723772E-2</v>
      </c>
      <c r="BM28" s="2">
        <v>2.1098349243402498E-2</v>
      </c>
      <c r="BN28" s="2">
        <v>7.06651136279106E-2</v>
      </c>
      <c r="BO28" s="2">
        <v>0.13454036414623299</v>
      </c>
      <c r="BP28" s="2">
        <v>0.17956653237342801</v>
      </c>
    </row>
    <row r="29" spans="1:68">
      <c r="A29" s="2" t="s">
        <v>109</v>
      </c>
      <c r="B29" s="2" t="s">
        <v>110</v>
      </c>
      <c r="C29" s="2" t="s">
        <v>837</v>
      </c>
      <c r="D29" s="2" t="s">
        <v>838</v>
      </c>
      <c r="AO29" s="2">
        <v>-0.241686642169952</v>
      </c>
      <c r="AQ29" s="2">
        <v>-0.67188423871993996</v>
      </c>
      <c r="AS29" s="2">
        <v>-0.60225862264633201</v>
      </c>
      <c r="AU29" s="2">
        <v>-0.65600568056106601</v>
      </c>
      <c r="AV29" s="2">
        <v>-0.61684554815292403</v>
      </c>
      <c r="AW29" s="2">
        <v>-0.49067422747612</v>
      </c>
      <c r="AX29" s="2">
        <v>-0.51978617906570401</v>
      </c>
      <c r="AY29" s="2">
        <v>-0.49649360775947599</v>
      </c>
      <c r="AZ29" s="2">
        <v>-0.46990641951561002</v>
      </c>
      <c r="BA29" s="2">
        <v>-0.40743008255958602</v>
      </c>
      <c r="BB29" s="2">
        <v>-0.36013755202293402</v>
      </c>
      <c r="BC29" s="2">
        <v>-0.35564887523651101</v>
      </c>
      <c r="BD29" s="2">
        <v>-0.33177831768989602</v>
      </c>
      <c r="BE29" s="2">
        <v>-0.197178289294243</v>
      </c>
      <c r="BF29" s="2">
        <v>-0.13940793275833099</v>
      </c>
      <c r="BG29" s="2">
        <v>-0.13223154842853499</v>
      </c>
      <c r="BH29" s="2">
        <v>-0.264572232961655</v>
      </c>
      <c r="BI29" s="2">
        <v>-0.19300545752048501</v>
      </c>
      <c r="BJ29" s="2">
        <v>-0.20181369781494099</v>
      </c>
      <c r="BK29" s="2">
        <v>-0.22558066248893699</v>
      </c>
      <c r="BL29" s="2">
        <v>-0.22580970823764801</v>
      </c>
      <c r="BM29" s="2">
        <v>-0.31613734364509599</v>
      </c>
      <c r="BN29" s="2">
        <v>-0.30325683951377902</v>
      </c>
      <c r="BO29" s="2">
        <v>-0.30698308348655701</v>
      </c>
      <c r="BP29" s="2">
        <v>-0.35181954503059398</v>
      </c>
    </row>
    <row r="30" spans="1:68">
      <c r="A30" s="2" t="s">
        <v>111</v>
      </c>
      <c r="B30" s="2" t="s">
        <v>112</v>
      </c>
      <c r="C30" s="2" t="s">
        <v>837</v>
      </c>
      <c r="D30" s="2" t="s">
        <v>838</v>
      </c>
      <c r="AO30" s="2">
        <v>-0.79898399114608798</v>
      </c>
      <c r="AQ30" s="2">
        <v>-0.891576588153839</v>
      </c>
      <c r="AS30" s="2">
        <v>-1.1005835533142101</v>
      </c>
      <c r="AU30" s="2">
        <v>-1.25031065940857</v>
      </c>
      <c r="AV30" s="2">
        <v>-1.0729182958602901</v>
      </c>
      <c r="AW30" s="2">
        <v>-1.1885381937027</v>
      </c>
      <c r="AX30" s="2">
        <v>-1.15578401088715</v>
      </c>
      <c r="AY30" s="2">
        <v>-1.30366063117981</v>
      </c>
      <c r="AZ30" s="2">
        <v>-1.1658735275268599</v>
      </c>
      <c r="BA30" s="2">
        <v>-1.0688900947570801</v>
      </c>
      <c r="BB30" s="2">
        <v>-1.0264304876327499</v>
      </c>
      <c r="BC30" s="2">
        <v>-1.0724406242370601</v>
      </c>
      <c r="BD30" s="2">
        <v>-1.1128970384597801</v>
      </c>
      <c r="BE30" s="2">
        <v>-0.92303854227065996</v>
      </c>
      <c r="BF30" s="2">
        <v>-0.88221949338912997</v>
      </c>
      <c r="BG30" s="2">
        <v>-0.81521302461624101</v>
      </c>
      <c r="BH30" s="2">
        <v>-0.87921744585037198</v>
      </c>
      <c r="BI30" s="2">
        <v>-0.76732504367828402</v>
      </c>
      <c r="BJ30" s="2">
        <v>-0.88167381286621105</v>
      </c>
      <c r="BK30" s="2">
        <v>-0.89302057027816795</v>
      </c>
      <c r="BL30" s="2">
        <v>-0.85941302776336703</v>
      </c>
      <c r="BM30" s="2">
        <v>-1.0851740837097199</v>
      </c>
      <c r="BN30" s="2">
        <v>-1.1214325428009</v>
      </c>
      <c r="BO30" s="2">
        <v>-1.2210003137588501</v>
      </c>
      <c r="BP30" s="2">
        <v>-1.25094270706177</v>
      </c>
    </row>
    <row r="31" spans="1:68">
      <c r="A31" s="2" t="s">
        <v>113</v>
      </c>
      <c r="B31" s="2" t="s">
        <v>114</v>
      </c>
      <c r="C31" s="2" t="s">
        <v>837</v>
      </c>
      <c r="D31" s="2" t="s">
        <v>838</v>
      </c>
      <c r="AO31" s="2">
        <v>8.4681548178195995E-2</v>
      </c>
      <c r="AQ31" s="2">
        <v>-0.10616008192300801</v>
      </c>
      <c r="AS31" s="2">
        <v>9.8326824605464894E-2</v>
      </c>
      <c r="AU31" s="2">
        <v>-4.5510951429605498E-2</v>
      </c>
      <c r="AV31" s="2">
        <v>0.190566956996918</v>
      </c>
      <c r="AW31" s="2">
        <v>-5.2921403199434301E-2</v>
      </c>
      <c r="AX31" s="2">
        <v>-4.8588708043098401E-2</v>
      </c>
      <c r="AY31" s="2">
        <v>2.3866651579737701E-2</v>
      </c>
      <c r="AZ31" s="2">
        <v>-4.4806230813264798E-2</v>
      </c>
      <c r="BA31" s="2">
        <v>-0.13309167325496701</v>
      </c>
      <c r="BB31" s="2">
        <v>-0.32314449548721302</v>
      </c>
      <c r="BC31" s="2">
        <v>-0.28117403388023399</v>
      </c>
      <c r="BD31" s="2">
        <v>-0.46988132596015902</v>
      </c>
      <c r="BE31" s="2">
        <v>-0.43586683273315402</v>
      </c>
      <c r="BF31" s="2">
        <v>-0.45157197117805498</v>
      </c>
      <c r="BG31" s="2">
        <v>-0.81467521190643299</v>
      </c>
      <c r="BH31" s="2">
        <v>-0.79416161775589</v>
      </c>
      <c r="BI31" s="2">
        <v>-0.97061550617217995</v>
      </c>
      <c r="BJ31" s="2">
        <v>-0.97460526227951005</v>
      </c>
      <c r="BK31" s="2">
        <v>-0.84251654148101796</v>
      </c>
      <c r="BL31" s="2">
        <v>-0.85588359832763705</v>
      </c>
      <c r="BM31" s="2">
        <v>-0.82653957605361905</v>
      </c>
      <c r="BN31" s="2">
        <v>-0.80022799968719505</v>
      </c>
      <c r="BO31" s="2">
        <v>-0.72016066312789895</v>
      </c>
      <c r="BP31" s="2">
        <v>-0.635611891746521</v>
      </c>
    </row>
    <row r="32" spans="1:68">
      <c r="A32" s="2" t="s">
        <v>115</v>
      </c>
      <c r="B32" s="2" t="s">
        <v>116</v>
      </c>
      <c r="C32" s="2" t="s">
        <v>837</v>
      </c>
      <c r="D32" s="2" t="s">
        <v>838</v>
      </c>
      <c r="AO32" s="2">
        <v>1.2102012634277299</v>
      </c>
      <c r="AQ32" s="2">
        <v>1.2090218067169201</v>
      </c>
      <c r="AS32" s="2">
        <v>1.2309973239898699</v>
      </c>
      <c r="AU32" s="2">
        <v>1.20913541316986</v>
      </c>
      <c r="AV32" s="2">
        <v>1.2284450531005899</v>
      </c>
      <c r="AW32" s="2">
        <v>1.0926978588104199</v>
      </c>
      <c r="AX32" s="2">
        <v>0.84743839502334595</v>
      </c>
      <c r="AY32" s="2">
        <v>0.81043130159378096</v>
      </c>
      <c r="AZ32" s="2">
        <v>0.82646405696868896</v>
      </c>
      <c r="BA32" s="2">
        <v>0.847226142883301</v>
      </c>
      <c r="BB32" s="2">
        <v>0.85692697763443004</v>
      </c>
      <c r="BC32" s="2">
        <v>1.1112082004547099</v>
      </c>
      <c r="BD32" s="2">
        <v>1.09095239639282</v>
      </c>
      <c r="BE32" s="2">
        <v>1.0963672399520901</v>
      </c>
      <c r="BF32" s="2">
        <v>1.1014382839202901</v>
      </c>
      <c r="BG32" s="2">
        <v>1.95597112178802E-2</v>
      </c>
      <c r="BH32" s="2">
        <v>0.83020007610321001</v>
      </c>
      <c r="BI32" s="2">
        <v>0.81160259246826205</v>
      </c>
      <c r="BJ32" s="2">
        <v>0.81476587057113603</v>
      </c>
      <c r="BK32" s="2">
        <v>0.81677269935607899</v>
      </c>
      <c r="BL32" s="2">
        <v>0.78417491912841797</v>
      </c>
      <c r="BM32" s="2">
        <v>0.62179464101791404</v>
      </c>
      <c r="BN32" s="2">
        <v>0.63546872138977095</v>
      </c>
      <c r="BO32" s="2">
        <v>0.69238162040710405</v>
      </c>
      <c r="BP32" s="2">
        <v>0.68367564678192105</v>
      </c>
    </row>
    <row r="33" spans="1:68">
      <c r="A33" s="2" t="s">
        <v>117</v>
      </c>
      <c r="B33" s="2" t="s">
        <v>118</v>
      </c>
      <c r="C33" s="2" t="s">
        <v>837</v>
      </c>
      <c r="D33" s="2" t="s">
        <v>838</v>
      </c>
      <c r="AO33" s="2">
        <v>-0.26152831315994302</v>
      </c>
      <c r="AQ33" s="2">
        <v>-0.22726055979728699</v>
      </c>
      <c r="AS33" s="2">
        <v>-0.368222206830978</v>
      </c>
      <c r="AU33" s="2">
        <v>-0.37811255455017101</v>
      </c>
      <c r="AV33" s="2">
        <v>-0.46946907043456998</v>
      </c>
      <c r="AW33" s="2">
        <v>-0.62674456834793102</v>
      </c>
      <c r="AX33" s="2">
        <v>-0.76542484760284402</v>
      </c>
      <c r="AY33" s="2">
        <v>-0.85372930765152</v>
      </c>
      <c r="AZ33" s="2">
        <v>-0.83232635259628296</v>
      </c>
      <c r="BA33" s="2">
        <v>-0.97854930162429798</v>
      </c>
      <c r="BB33" s="2">
        <v>-1.11391890048981</v>
      </c>
      <c r="BC33" s="2">
        <v>-1.02979016304016</v>
      </c>
      <c r="BD33" s="2">
        <v>-0.98403578996658303</v>
      </c>
      <c r="BE33" s="2">
        <v>-1.0187640190124501</v>
      </c>
      <c r="BF33" s="2">
        <v>-1.0509506464004501</v>
      </c>
      <c r="BG33" s="2">
        <v>-1.0583350658416699</v>
      </c>
      <c r="BH33" s="2">
        <v>-1.1621170043945299</v>
      </c>
      <c r="BI33" s="2">
        <v>-1.2387394905090301</v>
      </c>
      <c r="BJ33" s="2">
        <v>-1.2451081275939899</v>
      </c>
      <c r="BK33" s="2">
        <v>-1.2119008302688601</v>
      </c>
      <c r="BL33" s="2">
        <v>-1.18941926956177</v>
      </c>
      <c r="BM33" s="2">
        <v>-1.2186311483383201</v>
      </c>
      <c r="BN33" s="2">
        <v>-1.17760181427002</v>
      </c>
      <c r="BO33" s="2">
        <v>-1.3014042377471899</v>
      </c>
      <c r="BP33" s="2">
        <v>-1.21933794021606</v>
      </c>
    </row>
    <row r="34" spans="1:68">
      <c r="A34" s="2" t="s">
        <v>119</v>
      </c>
      <c r="B34" s="2" t="s">
        <v>120</v>
      </c>
      <c r="C34" s="2" t="s">
        <v>837</v>
      </c>
      <c r="D34" s="2" t="s">
        <v>838</v>
      </c>
      <c r="AO34" s="2">
        <v>-0.22350220382213601</v>
      </c>
      <c r="AQ34" s="2">
        <v>-0.20299208164215099</v>
      </c>
      <c r="AS34" s="2">
        <v>-0.24487185478210399</v>
      </c>
      <c r="AU34" s="2">
        <v>-0.266611307859421</v>
      </c>
      <c r="AV34" s="2">
        <v>-0.367893666028976</v>
      </c>
      <c r="AW34" s="2">
        <v>-0.40092012286186202</v>
      </c>
      <c r="AX34" s="2">
        <v>-0.47553145885467502</v>
      </c>
      <c r="AY34" s="2">
        <v>-0.40262019634246798</v>
      </c>
      <c r="AZ34" s="2">
        <v>-0.40977942943572998</v>
      </c>
      <c r="BA34" s="2">
        <v>-0.28804478049278298</v>
      </c>
      <c r="BB34" s="2">
        <v>-0.103854693472385</v>
      </c>
      <c r="BC34" s="2">
        <v>5.6414436548948302E-2</v>
      </c>
      <c r="BD34" s="2">
        <v>4.5141723006963702E-2</v>
      </c>
      <c r="BE34" s="2">
        <v>-7.6932795345783206E-2</v>
      </c>
      <c r="BF34" s="2">
        <v>-9.2045202851295499E-2</v>
      </c>
      <c r="BG34" s="2">
        <v>-5.2965760231018101E-2</v>
      </c>
      <c r="BH34" s="2">
        <v>-0.187332957983017</v>
      </c>
      <c r="BI34" s="2">
        <v>-0.20130199193954501</v>
      </c>
      <c r="BJ34" s="2">
        <v>-0.30542856454849199</v>
      </c>
      <c r="BK34" s="2">
        <v>-0.30234295129776001</v>
      </c>
      <c r="BL34" s="2">
        <v>-0.22431981563568101</v>
      </c>
      <c r="BM34" s="2">
        <v>-0.231919765472412</v>
      </c>
      <c r="BN34" s="2">
        <v>-0.30141738057136502</v>
      </c>
      <c r="BO34" s="2">
        <v>-0.257879137992859</v>
      </c>
      <c r="BP34" s="2">
        <v>-0.30880284309387201</v>
      </c>
    </row>
    <row r="35" spans="1:68">
      <c r="A35" s="2" t="s">
        <v>121</v>
      </c>
      <c r="B35" s="2" t="s">
        <v>122</v>
      </c>
      <c r="C35" s="2" t="s">
        <v>837</v>
      </c>
      <c r="D35" s="2" t="s">
        <v>838</v>
      </c>
      <c r="AO35" s="2">
        <v>1.0467729568481401</v>
      </c>
      <c r="AQ35" s="2">
        <v>1.2329906225204501</v>
      </c>
      <c r="AS35" s="2">
        <v>1.3962256908416699</v>
      </c>
      <c r="AU35" s="2">
        <v>1.4939389228820801</v>
      </c>
      <c r="AV35" s="2">
        <v>1.51915323734283</v>
      </c>
      <c r="AW35" s="2">
        <v>1.42412769794464</v>
      </c>
      <c r="AX35" s="2">
        <v>1.33475089073181</v>
      </c>
      <c r="AY35" s="2">
        <v>1.22523212432861</v>
      </c>
      <c r="AZ35" s="2">
        <v>1.31363642215729</v>
      </c>
      <c r="BA35" s="2">
        <v>1.2986019849777199</v>
      </c>
      <c r="BB35" s="2">
        <v>1.00787806510925</v>
      </c>
      <c r="BC35" s="2">
        <v>1.0745384693145801</v>
      </c>
      <c r="BD35" s="2">
        <v>1.0740762948989899</v>
      </c>
      <c r="BE35" s="2">
        <v>1.02571737766266</v>
      </c>
      <c r="BF35" s="2">
        <v>1.0393699407577499</v>
      </c>
      <c r="BG35" s="2">
        <v>1.07996773719788</v>
      </c>
      <c r="BH35" s="2">
        <v>1.06278419494629</v>
      </c>
      <c r="BI35" s="2">
        <v>0.76329159736633301</v>
      </c>
      <c r="BJ35" s="2">
        <v>0.62547701597213701</v>
      </c>
      <c r="BK35" s="2">
        <v>0.36329483985900901</v>
      </c>
      <c r="BL35" s="2">
        <v>0.323312878608704</v>
      </c>
      <c r="BM35" s="2">
        <v>0.29438126087188698</v>
      </c>
      <c r="BN35" s="2">
        <v>0.341287851333618</v>
      </c>
      <c r="BO35" s="2">
        <v>0.359412461519241</v>
      </c>
      <c r="BP35" s="2">
        <v>0.41419538855552701</v>
      </c>
    </row>
    <row r="36" spans="1:68">
      <c r="A36" s="2" t="s">
        <v>123</v>
      </c>
      <c r="B36" s="2" t="s">
        <v>124</v>
      </c>
      <c r="C36" s="2" t="s">
        <v>837</v>
      </c>
      <c r="D36" s="2" t="s">
        <v>838</v>
      </c>
      <c r="AO36" s="2">
        <v>0.81603491306304898</v>
      </c>
      <c r="AQ36" s="2">
        <v>0.53182959556579601</v>
      </c>
      <c r="AS36" s="2">
        <v>0.51794546842575095</v>
      </c>
      <c r="AU36" s="2">
        <v>0.48044890165329002</v>
      </c>
      <c r="AV36" s="2">
        <v>0.56472158432006803</v>
      </c>
      <c r="AW36" s="2">
        <v>0.37086123228073098</v>
      </c>
      <c r="AX36" s="2">
        <v>0.233480259776115</v>
      </c>
      <c r="AY36" s="2">
        <v>0.11510483175516099</v>
      </c>
      <c r="AZ36" s="2">
        <v>0.40165552496910101</v>
      </c>
      <c r="BA36" s="2">
        <v>0.45791959762573198</v>
      </c>
      <c r="BB36" s="2">
        <v>0.78254330158233598</v>
      </c>
      <c r="BC36" s="2">
        <v>0.77304095029830899</v>
      </c>
      <c r="BD36" s="2">
        <v>0.842867791652679</v>
      </c>
      <c r="BE36" s="2">
        <v>0.78748959302902199</v>
      </c>
      <c r="BF36" s="2">
        <v>0.58959197998046897</v>
      </c>
      <c r="BG36" s="2">
        <v>0.47270455956459001</v>
      </c>
      <c r="BH36" s="2">
        <v>0.38321104645729098</v>
      </c>
      <c r="BI36" s="2">
        <v>0.535822093486786</v>
      </c>
      <c r="BJ36" s="2">
        <v>0.61976778507232699</v>
      </c>
      <c r="BK36" s="2">
        <v>0.59930336475372303</v>
      </c>
      <c r="BL36" s="2">
        <v>0.58805918693542503</v>
      </c>
      <c r="BM36" s="2">
        <v>0.89775913953781095</v>
      </c>
      <c r="BN36" s="2">
        <v>0.86057460308074996</v>
      </c>
      <c r="BO36" s="2">
        <v>0.93375974893569902</v>
      </c>
      <c r="BP36" s="2">
        <v>0.88685381412506104</v>
      </c>
    </row>
    <row r="37" spans="1:68">
      <c r="A37" s="2" t="s">
        <v>125</v>
      </c>
      <c r="B37" s="2" t="s">
        <v>126</v>
      </c>
      <c r="C37" s="2" t="s">
        <v>837</v>
      </c>
      <c r="D37" s="2" t="s">
        <v>838</v>
      </c>
      <c r="AO37" s="2">
        <v>-3.1503625214099898E-2</v>
      </c>
      <c r="AQ37" s="2">
        <v>3.8308374583721203E-2</v>
      </c>
      <c r="AS37" s="2">
        <v>0.13042615354061099</v>
      </c>
      <c r="AU37" s="2">
        <v>6.9401726126670796E-2</v>
      </c>
      <c r="AV37" s="2">
        <v>0.136125683784485</v>
      </c>
      <c r="AW37" s="2">
        <v>0.22359141707420299</v>
      </c>
      <c r="AX37" s="2">
        <v>0.332806766033173</v>
      </c>
      <c r="AY37" s="2">
        <v>0.21245948970317799</v>
      </c>
      <c r="AZ37" s="2">
        <v>0.36783277988433799</v>
      </c>
      <c r="BA37" s="2">
        <v>0.42169818282127403</v>
      </c>
      <c r="BB37" s="2">
        <v>0.21909792721271501</v>
      </c>
      <c r="BC37" s="2">
        <v>0.16185925900936099</v>
      </c>
      <c r="BD37" s="2">
        <v>0.205665543675423</v>
      </c>
      <c r="BE37" s="2">
        <v>0.26095372438430797</v>
      </c>
      <c r="BF37" s="2">
        <v>0.31718641519546498</v>
      </c>
      <c r="BG37" s="2">
        <v>0.41735407710075401</v>
      </c>
      <c r="BH37" s="2">
        <v>0.53487151861190796</v>
      </c>
      <c r="BI37" s="2">
        <v>0.51070088148117099</v>
      </c>
      <c r="BJ37" s="2">
        <v>0.62613606452941895</v>
      </c>
      <c r="BK37" s="2">
        <v>0.54835182428359996</v>
      </c>
      <c r="BL37" s="2">
        <v>0.58450698852539096</v>
      </c>
      <c r="BM37" s="2">
        <v>0.576956927776337</v>
      </c>
      <c r="BN37" s="2">
        <v>0.605341255664825</v>
      </c>
      <c r="BO37" s="2">
        <v>0.673572778701782</v>
      </c>
      <c r="BP37" s="2">
        <v>0.66769325733184803</v>
      </c>
    </row>
    <row r="38" spans="1:68">
      <c r="A38" s="2" t="s">
        <v>127</v>
      </c>
      <c r="B38" s="2" t="s">
        <v>128</v>
      </c>
      <c r="C38" s="2" t="s">
        <v>837</v>
      </c>
      <c r="D38" s="2" t="s">
        <v>838</v>
      </c>
      <c r="AO38" s="2">
        <v>0.58452105522155795</v>
      </c>
      <c r="AQ38" s="2">
        <v>0.631555795669556</v>
      </c>
      <c r="AS38" s="2">
        <v>0.57708376646041903</v>
      </c>
      <c r="AU38" s="2">
        <v>0.55901998281478904</v>
      </c>
      <c r="AV38" s="2">
        <v>0.67059218883514404</v>
      </c>
      <c r="AW38" s="2">
        <v>0.56250065565109297</v>
      </c>
      <c r="AX38" s="2">
        <v>0.54110872745513905</v>
      </c>
      <c r="AY38" s="2">
        <v>0.51366418600082397</v>
      </c>
      <c r="AZ38" s="2">
        <v>0.54485630989074696</v>
      </c>
      <c r="BA38" s="2">
        <v>0.61046093702316295</v>
      </c>
      <c r="BB38" s="2">
        <v>0.58603495359420799</v>
      </c>
      <c r="BC38" s="2">
        <v>0.59693050384521495</v>
      </c>
      <c r="BD38" s="2">
        <v>0.60140037536621105</v>
      </c>
      <c r="BE38" s="2">
        <v>0.59452170133590698</v>
      </c>
      <c r="BF38" s="2">
        <v>0.49438241124153098</v>
      </c>
      <c r="BG38" s="2">
        <v>0.53928261995315596</v>
      </c>
      <c r="BH38" s="2">
        <v>0.48319923877716098</v>
      </c>
      <c r="BI38" s="2">
        <v>0.37993207573890703</v>
      </c>
      <c r="BJ38" s="2">
        <v>0.36061957478523299</v>
      </c>
      <c r="BK38" s="2">
        <v>0.38380485773086498</v>
      </c>
      <c r="BL38" s="2">
        <v>0.43296927213668801</v>
      </c>
      <c r="BM38" s="2">
        <v>0.38222190737724299</v>
      </c>
      <c r="BN38" s="2">
        <v>0.45328143239021301</v>
      </c>
      <c r="BO38" s="2">
        <v>0.45922759175300598</v>
      </c>
      <c r="BP38" s="2">
        <v>0.390436381101608</v>
      </c>
    </row>
    <row r="39" spans="1:68">
      <c r="A39" s="2" t="s">
        <v>129</v>
      </c>
      <c r="B39" s="2" t="s">
        <v>130</v>
      </c>
      <c r="C39" s="2" t="s">
        <v>837</v>
      </c>
      <c r="D39" s="2" t="s">
        <v>838</v>
      </c>
      <c r="AO39" s="2">
        <v>-1.1523813009262101</v>
      </c>
      <c r="AQ39" s="2">
        <v>-1.1665472984314</v>
      </c>
      <c r="AS39" s="2">
        <v>-1.3759566545486499</v>
      </c>
      <c r="AU39" s="2">
        <v>-0.955280721187592</v>
      </c>
      <c r="AV39" s="2">
        <v>-1.4330381155014</v>
      </c>
      <c r="AW39" s="2">
        <v>-1.56201231479645</v>
      </c>
      <c r="AX39" s="2">
        <v>-1.4513299465179399</v>
      </c>
      <c r="AY39" s="2">
        <v>-1.5449037551879901</v>
      </c>
      <c r="AZ39" s="2">
        <v>-1.57391834259033</v>
      </c>
      <c r="BA39" s="2">
        <v>-1.4318704605102499</v>
      </c>
      <c r="BB39" s="2">
        <v>-1.32386815547943</v>
      </c>
      <c r="BC39" s="2">
        <v>-1.3119989633560201</v>
      </c>
      <c r="BD39" s="2">
        <v>-1.3054454326629601</v>
      </c>
      <c r="BE39" s="2">
        <v>-1.43880379199982</v>
      </c>
      <c r="BF39" s="2">
        <v>-1.8094393014907799</v>
      </c>
      <c r="BG39" s="2">
        <v>-1.70663821697235</v>
      </c>
      <c r="BH39" s="2">
        <v>-1.71155834197998</v>
      </c>
      <c r="BI39" s="2">
        <v>-1.8510274887085001</v>
      </c>
      <c r="BJ39" s="2">
        <v>-1.75811660289764</v>
      </c>
      <c r="BK39" s="2">
        <v>-1.7171630859375</v>
      </c>
      <c r="BL39" s="2">
        <v>-1.7652606964111299</v>
      </c>
      <c r="BM39" s="2">
        <v>-1.75423848628998</v>
      </c>
      <c r="BN39" s="2">
        <v>-1.6887134313583401</v>
      </c>
      <c r="BO39" s="2">
        <v>-1.69991219043732</v>
      </c>
      <c r="BP39" s="2">
        <v>-1.7595010995864899</v>
      </c>
    </row>
    <row r="40" spans="1:68">
      <c r="A40" s="2" t="s">
        <v>131</v>
      </c>
      <c r="B40" s="2" t="s">
        <v>132</v>
      </c>
      <c r="C40" s="2" t="s">
        <v>837</v>
      </c>
      <c r="D40" s="2" t="s">
        <v>838</v>
      </c>
      <c r="AO40" s="2">
        <v>1.64725470542908</v>
      </c>
      <c r="AQ40" s="2">
        <v>1.7149953842163099</v>
      </c>
      <c r="AS40" s="2">
        <v>1.6654860973358201</v>
      </c>
      <c r="AU40" s="2">
        <v>1.6613960266113299</v>
      </c>
      <c r="AV40" s="2">
        <v>1.6970565319061299</v>
      </c>
      <c r="AW40" s="2">
        <v>1.6871472597122199</v>
      </c>
      <c r="AX40" s="2">
        <v>1.65014719963074</v>
      </c>
      <c r="AY40" s="2">
        <v>1.8010833263397199</v>
      </c>
      <c r="AZ40" s="2">
        <v>1.7971001863479601</v>
      </c>
      <c r="BA40" s="2">
        <v>1.79639303684235</v>
      </c>
      <c r="BB40" s="2">
        <v>1.7967267036437999</v>
      </c>
      <c r="BC40" s="2">
        <v>1.79859042167664</v>
      </c>
      <c r="BD40" s="2">
        <v>1.7271199226379399</v>
      </c>
      <c r="BE40" s="2">
        <v>1.7564212083816499</v>
      </c>
      <c r="BF40" s="2">
        <v>1.74750757217407</v>
      </c>
      <c r="BG40" s="2">
        <v>1.88629722595215</v>
      </c>
      <c r="BH40" s="2">
        <v>1.8071414232253999</v>
      </c>
      <c r="BI40" s="2">
        <v>1.8009147644043</v>
      </c>
      <c r="BJ40" s="2">
        <v>1.76343929767609</v>
      </c>
      <c r="BK40" s="2">
        <v>1.7151416540145901</v>
      </c>
      <c r="BL40" s="2">
        <v>1.71977615356445</v>
      </c>
      <c r="BM40" s="2">
        <v>1.6191033124923699</v>
      </c>
      <c r="BN40" s="2">
        <v>1.59289026260376</v>
      </c>
      <c r="BO40" s="2">
        <v>1.56462013721466</v>
      </c>
      <c r="BP40" s="2">
        <v>1.47300565242767</v>
      </c>
    </row>
    <row r="41" spans="1:68">
      <c r="A41" s="2" t="s">
        <v>133</v>
      </c>
      <c r="B41" s="2" t="s">
        <v>134</v>
      </c>
      <c r="C41" s="2" t="s">
        <v>837</v>
      </c>
      <c r="D41" s="2" t="s">
        <v>838</v>
      </c>
    </row>
    <row r="42" spans="1:68">
      <c r="A42" s="2" t="s">
        <v>135</v>
      </c>
      <c r="B42" s="2" t="s">
        <v>136</v>
      </c>
      <c r="C42" s="2" t="s">
        <v>837</v>
      </c>
      <c r="D42" s="2" t="s">
        <v>838</v>
      </c>
      <c r="AO42" s="2">
        <v>1.93155193328857</v>
      </c>
      <c r="AQ42" s="2">
        <v>1.9275484085082999</v>
      </c>
      <c r="AS42" s="2">
        <v>1.9458205699920701</v>
      </c>
      <c r="AU42" s="2">
        <v>1.91821336746216</v>
      </c>
      <c r="AV42" s="2">
        <v>1.89939785003662</v>
      </c>
      <c r="AW42" s="2">
        <v>1.8861954212188701</v>
      </c>
      <c r="AX42" s="2">
        <v>1.9016693830490099</v>
      </c>
      <c r="AY42" s="2">
        <v>1.80377161502838</v>
      </c>
      <c r="AZ42" s="2">
        <v>1.8279457092285201</v>
      </c>
      <c r="BA42" s="2">
        <v>1.8047078847885101</v>
      </c>
      <c r="BB42" s="2">
        <v>1.74314093589783</v>
      </c>
      <c r="BC42" s="2">
        <v>1.74979496002197</v>
      </c>
      <c r="BD42" s="2">
        <v>1.7221419811248799</v>
      </c>
      <c r="BE42" s="2">
        <v>1.81180202960968</v>
      </c>
      <c r="BF42" s="2">
        <v>1.7960458993911701</v>
      </c>
      <c r="BG42" s="2">
        <v>1.99025726318359</v>
      </c>
      <c r="BH42" s="2">
        <v>1.9092810153961199</v>
      </c>
      <c r="BI42" s="2">
        <v>1.9061628580093399</v>
      </c>
      <c r="BJ42" s="2">
        <v>1.88867199420929</v>
      </c>
      <c r="BK42" s="2">
        <v>1.8875600099563601</v>
      </c>
      <c r="BL42" s="2">
        <v>1.86265933513641</v>
      </c>
      <c r="BM42" s="2">
        <v>1.7768902778625499</v>
      </c>
      <c r="BN42" s="2">
        <v>1.7679853439331099</v>
      </c>
      <c r="BO42" s="2">
        <v>1.75118839740753</v>
      </c>
      <c r="BP42" s="2">
        <v>1.7617256641387899</v>
      </c>
    </row>
    <row r="43" spans="1:68">
      <c r="A43" s="2" t="s">
        <v>137</v>
      </c>
      <c r="B43" s="2" t="s">
        <v>138</v>
      </c>
      <c r="C43" s="2" t="s">
        <v>837</v>
      </c>
      <c r="D43" s="2" t="s">
        <v>838</v>
      </c>
    </row>
    <row r="44" spans="1:68">
      <c r="A44" s="2" t="s">
        <v>139</v>
      </c>
      <c r="B44" s="2" t="s">
        <v>140</v>
      </c>
      <c r="C44" s="2" t="s">
        <v>837</v>
      </c>
      <c r="D44" s="2" t="s">
        <v>838</v>
      </c>
      <c r="AO44" s="2">
        <v>1.1137381792068499</v>
      </c>
      <c r="AQ44" s="2">
        <v>1.09760177135468</v>
      </c>
      <c r="AS44" s="2">
        <v>1.2609233856201201</v>
      </c>
      <c r="AU44" s="2">
        <v>1.25724005699158</v>
      </c>
      <c r="AV44" s="2">
        <v>1.1772108078002901</v>
      </c>
      <c r="AW44" s="2">
        <v>1.1656967401504501</v>
      </c>
      <c r="AX44" s="2">
        <v>1.21021103858948</v>
      </c>
      <c r="AY44" s="2">
        <v>1.18129122257233</v>
      </c>
      <c r="AZ44" s="2">
        <v>1.1951875686645499</v>
      </c>
      <c r="BA44" s="2">
        <v>1.2103573083877599</v>
      </c>
      <c r="BB44" s="2">
        <v>1.1940904855728101</v>
      </c>
      <c r="BC44" s="2">
        <v>1.2254157066345199</v>
      </c>
      <c r="BD44" s="2">
        <v>1.26333856582642</v>
      </c>
      <c r="BE44" s="2">
        <v>1.2876567840576201</v>
      </c>
      <c r="BF44" s="2">
        <v>1.25513780117035</v>
      </c>
      <c r="BG44" s="2">
        <v>1.3487036228179901</v>
      </c>
      <c r="BH44" s="2">
        <v>1.2197290658950799</v>
      </c>
      <c r="BI44" s="2">
        <v>0.96039354801178001</v>
      </c>
      <c r="BJ44" s="2">
        <v>0.98147547245025601</v>
      </c>
      <c r="BK44" s="2">
        <v>0.940260529518127</v>
      </c>
      <c r="BL44" s="2">
        <v>0.924216628074646</v>
      </c>
      <c r="BM44" s="2">
        <v>0.93016213178634599</v>
      </c>
      <c r="BN44" s="2">
        <v>0.88989067077636697</v>
      </c>
      <c r="BO44" s="2">
        <v>0.688454449176788</v>
      </c>
      <c r="BP44" s="2">
        <v>0.62509375810623202</v>
      </c>
    </row>
    <row r="45" spans="1:68">
      <c r="A45" s="2" t="s">
        <v>27</v>
      </c>
      <c r="B45" s="2" t="s">
        <v>141</v>
      </c>
      <c r="C45" s="2" t="s">
        <v>837</v>
      </c>
      <c r="D45" s="2" t="s">
        <v>838</v>
      </c>
      <c r="AO45" s="2">
        <v>-0.54558998346328702</v>
      </c>
      <c r="AQ45" s="2">
        <v>-0.476805359125137</v>
      </c>
      <c r="AS45" s="2">
        <v>-0.51611715555190996</v>
      </c>
      <c r="AU45" s="2">
        <v>-0.51702976226806596</v>
      </c>
      <c r="AV45" s="2">
        <v>-0.55304384231567405</v>
      </c>
      <c r="AW45" s="2">
        <v>-0.585468709468842</v>
      </c>
      <c r="AX45" s="2">
        <v>-0.65017288923263505</v>
      </c>
      <c r="AY45" s="2">
        <v>-0.69989341497421298</v>
      </c>
      <c r="AZ45" s="2">
        <v>-0.59739774465560902</v>
      </c>
      <c r="BA45" s="2">
        <v>-0.47917467355728099</v>
      </c>
      <c r="BB45" s="2">
        <v>-0.46321377158165</v>
      </c>
      <c r="BC45" s="2">
        <v>-0.47260186076164201</v>
      </c>
      <c r="BD45" s="2">
        <v>-0.45380997657775901</v>
      </c>
      <c r="BE45" s="2">
        <v>-0.54538446664810203</v>
      </c>
      <c r="BF45" s="2">
        <v>-0.52588939666748002</v>
      </c>
      <c r="BG45" s="2">
        <v>-0.39605319499969499</v>
      </c>
      <c r="BH45" s="2">
        <v>-0.408455699682236</v>
      </c>
      <c r="BI45" s="2">
        <v>-0.32396873831749001</v>
      </c>
      <c r="BJ45" s="2">
        <v>-0.25517809391021701</v>
      </c>
      <c r="BK45" s="2">
        <v>-0.18647919595241499</v>
      </c>
      <c r="BL45" s="2">
        <v>-0.26168152689933799</v>
      </c>
      <c r="BM45" s="2">
        <v>-0.102505102753639</v>
      </c>
      <c r="BN45" s="2">
        <v>1.02688856422901E-2</v>
      </c>
      <c r="BO45" s="2">
        <v>-4.2176291346550002E-2</v>
      </c>
      <c r="BP45" s="2">
        <v>-4.0129970759153401E-2</v>
      </c>
    </row>
    <row r="46" spans="1:68">
      <c r="A46" s="2" t="s">
        <v>142</v>
      </c>
      <c r="B46" s="2" t="s">
        <v>143</v>
      </c>
      <c r="C46" s="2" t="s">
        <v>837</v>
      </c>
      <c r="D46" s="2" t="s">
        <v>838</v>
      </c>
      <c r="AO46" s="2">
        <v>-0.78543514013290405</v>
      </c>
      <c r="AQ46" s="2">
        <v>-0.92291420698165905</v>
      </c>
      <c r="AS46" s="2">
        <v>-1.24766981601715</v>
      </c>
      <c r="AU46" s="2">
        <v>-1.3292272090911901</v>
      </c>
      <c r="AV46" s="2">
        <v>-1.3585205078125</v>
      </c>
      <c r="AW46" s="2">
        <v>-1.4245312213897701</v>
      </c>
      <c r="AX46" s="2">
        <v>-1.53936767578125</v>
      </c>
      <c r="AY46" s="2">
        <v>-1.4629039764404299</v>
      </c>
      <c r="AZ46" s="2">
        <v>-1.47171807289124</v>
      </c>
      <c r="BA46" s="2">
        <v>-1.43818151950836</v>
      </c>
      <c r="BB46" s="2">
        <v>-1.2530438899993901</v>
      </c>
      <c r="BC46" s="2">
        <v>-1.2360025644302399</v>
      </c>
      <c r="BD46" s="2">
        <v>-1.2826817035675</v>
      </c>
      <c r="BE46" s="2">
        <v>-1.09417271614075</v>
      </c>
      <c r="BF46" s="2">
        <v>-0.91469460725784302</v>
      </c>
      <c r="BG46" s="2">
        <v>-0.593253374099731</v>
      </c>
      <c r="BH46" s="2">
        <v>-0.65147203207016002</v>
      </c>
      <c r="BI46" s="2">
        <v>-0.66303461790084794</v>
      </c>
      <c r="BJ46" s="2">
        <v>-0.65080386400222801</v>
      </c>
      <c r="BK46" s="2">
        <v>-0.60271030664444003</v>
      </c>
      <c r="BL46" s="2">
        <v>-0.61049550771713301</v>
      </c>
      <c r="BM46" s="2">
        <v>-0.65690857172012296</v>
      </c>
      <c r="BN46" s="2">
        <v>-0.66102355718612704</v>
      </c>
      <c r="BO46" s="2">
        <v>-0.47401824593544001</v>
      </c>
      <c r="BP46" s="2">
        <v>-0.46119713783264199</v>
      </c>
    </row>
    <row r="47" spans="1:68">
      <c r="A47" s="2" t="s">
        <v>144</v>
      </c>
      <c r="B47" s="2" t="s">
        <v>145</v>
      </c>
      <c r="C47" s="2" t="s">
        <v>837</v>
      </c>
      <c r="D47" s="2" t="s">
        <v>838</v>
      </c>
      <c r="AO47" s="2">
        <v>-1.44189488887787</v>
      </c>
      <c r="AQ47" s="2">
        <v>-1.1386370658874501</v>
      </c>
      <c r="AS47" s="2">
        <v>-1.1927472352981601</v>
      </c>
      <c r="AU47" s="2">
        <v>-1.26537561416626</v>
      </c>
      <c r="AV47" s="2">
        <v>-1.1632995605468801</v>
      </c>
      <c r="AW47" s="2">
        <v>-1.17322254180908</v>
      </c>
      <c r="AX47" s="2">
        <v>-1.19044029712677</v>
      </c>
      <c r="AY47" s="2">
        <v>-1.1629846096038801</v>
      </c>
      <c r="AZ47" s="2">
        <v>-1.1858165264129601</v>
      </c>
      <c r="BA47" s="2">
        <v>-1.1058366298675499</v>
      </c>
      <c r="BB47" s="2">
        <v>-1.13095426559448</v>
      </c>
      <c r="BC47" s="2">
        <v>-1.0792441368103001</v>
      </c>
      <c r="BD47" s="2">
        <v>-1.08089852333069</v>
      </c>
      <c r="BE47" s="2">
        <v>-1.04293036460876</v>
      </c>
      <c r="BF47" s="2">
        <v>-1.0583181381225599</v>
      </c>
      <c r="BG47" s="2">
        <v>-0.89785367250442505</v>
      </c>
      <c r="BH47" s="2">
        <v>-0.99832797050476096</v>
      </c>
      <c r="BI47" s="2">
        <v>-1.0590637922287001</v>
      </c>
      <c r="BJ47" s="2">
        <v>-1.0512959957122801</v>
      </c>
      <c r="BK47" s="2">
        <v>-1.10305547714233</v>
      </c>
      <c r="BL47" s="2">
        <v>-1.14145791530609</v>
      </c>
      <c r="BM47" s="2">
        <v>-1.1676713228225699</v>
      </c>
      <c r="BN47" s="2">
        <v>-1.11640584468842</v>
      </c>
      <c r="BO47" s="2">
        <v>-1.03893566131592</v>
      </c>
      <c r="BP47" s="2">
        <v>-1.03819787502289</v>
      </c>
    </row>
    <row r="48" spans="1:68">
      <c r="A48" s="2" t="s">
        <v>146</v>
      </c>
      <c r="B48" s="2" t="s">
        <v>147</v>
      </c>
      <c r="C48" s="2" t="s">
        <v>837</v>
      </c>
      <c r="D48" s="2" t="s">
        <v>838</v>
      </c>
      <c r="AO48" s="2">
        <v>-1.8765634298324601</v>
      </c>
      <c r="AQ48" s="2">
        <v>-1.9183989763259901</v>
      </c>
      <c r="AS48" s="2">
        <v>-1.8205643892288199</v>
      </c>
      <c r="AU48" s="2">
        <v>-1.7677203416824301</v>
      </c>
      <c r="AV48" s="2">
        <v>-1.85025274753571</v>
      </c>
      <c r="AW48" s="2">
        <v>-1.7184351682662999</v>
      </c>
      <c r="AX48" s="2">
        <v>-1.54452848434448</v>
      </c>
      <c r="AY48" s="2">
        <v>-1.6216967105865501</v>
      </c>
      <c r="AZ48" s="2">
        <v>-1.6147369146346999</v>
      </c>
      <c r="BA48" s="2">
        <v>-1.5736764669418299</v>
      </c>
      <c r="BB48" s="2">
        <v>-1.6440396308898899</v>
      </c>
      <c r="BC48" s="2">
        <v>-1.6271499395370499</v>
      </c>
      <c r="BD48" s="2">
        <v>-1.62553715705872</v>
      </c>
      <c r="BE48" s="2">
        <v>-1.66291427612305</v>
      </c>
      <c r="BF48" s="2">
        <v>-1.58509337902069</v>
      </c>
      <c r="BG48" s="2">
        <v>-1.4630329608917201</v>
      </c>
      <c r="BH48" s="2">
        <v>-1.6004239320755</v>
      </c>
      <c r="BI48" s="2">
        <v>-1.64798176288605</v>
      </c>
      <c r="BJ48" s="2">
        <v>-1.71109914779663</v>
      </c>
      <c r="BK48" s="2">
        <v>-1.8035680055618299</v>
      </c>
      <c r="BL48" s="2">
        <v>-1.8149026632309</v>
      </c>
      <c r="BM48" s="2">
        <v>-1.8238790035247801</v>
      </c>
      <c r="BN48" s="2">
        <v>-1.7238457202911399</v>
      </c>
      <c r="BO48" s="2">
        <v>-1.6717845201492301</v>
      </c>
      <c r="BP48" s="2">
        <v>-1.6707361936569201</v>
      </c>
    </row>
    <row r="49" spans="1:68">
      <c r="A49" s="2" t="s">
        <v>148</v>
      </c>
      <c r="B49" s="2" t="s">
        <v>149</v>
      </c>
      <c r="C49" s="2" t="s">
        <v>837</v>
      </c>
      <c r="D49" s="2" t="s">
        <v>838</v>
      </c>
      <c r="AO49" s="2">
        <v>-1.0438100099563601</v>
      </c>
      <c r="AQ49" s="2">
        <v>-1.6188086271286</v>
      </c>
      <c r="AS49" s="2">
        <v>-1.34849834442139</v>
      </c>
      <c r="AU49" s="2">
        <v>-1.2909853458404501</v>
      </c>
      <c r="AV49" s="2">
        <v>-1.2679706811904901</v>
      </c>
      <c r="AW49" s="2">
        <v>-1.1902501583099401</v>
      </c>
      <c r="AX49" s="2">
        <v>-1.47120356559753</v>
      </c>
      <c r="AY49" s="2">
        <v>-1.26634573936462</v>
      </c>
      <c r="AZ49" s="2">
        <v>-1.2232246398925799</v>
      </c>
      <c r="BA49" s="2">
        <v>-1.19344258308411</v>
      </c>
      <c r="BB49" s="2">
        <v>-1.2201396226882899</v>
      </c>
      <c r="BC49" s="2">
        <v>-1.2180478572845499</v>
      </c>
      <c r="BD49" s="2">
        <v>-1.2075212001800499</v>
      </c>
      <c r="BE49" s="2">
        <v>-1.14205086231232</v>
      </c>
      <c r="BF49" s="2">
        <v>-1.12121033668518</v>
      </c>
      <c r="BG49" s="2">
        <v>-1.11928927898407</v>
      </c>
      <c r="BH49" s="2">
        <v>-1.13607060909271</v>
      </c>
      <c r="BI49" s="2">
        <v>-1.1495051383972199</v>
      </c>
      <c r="BJ49" s="2">
        <v>-1.1574285030364999</v>
      </c>
      <c r="BK49" s="2">
        <v>-1.1340641975402801</v>
      </c>
      <c r="BL49" s="2">
        <v>-1.1102204322814899</v>
      </c>
      <c r="BM49" s="2">
        <v>-1.1192163228988601</v>
      </c>
      <c r="BN49" s="2">
        <v>-1.09928131103516</v>
      </c>
      <c r="BO49" s="2">
        <v>-1.0903462171554601</v>
      </c>
      <c r="BP49" s="2">
        <v>-1.0205873250961299</v>
      </c>
    </row>
    <row r="50" spans="1:68">
      <c r="A50" s="2" t="s">
        <v>150</v>
      </c>
      <c r="B50" s="2" t="s">
        <v>151</v>
      </c>
      <c r="C50" s="2" t="s">
        <v>837</v>
      </c>
      <c r="D50" s="2" t="s">
        <v>838</v>
      </c>
      <c r="AO50" s="2">
        <v>-0.75183779001235995</v>
      </c>
      <c r="AQ50" s="2">
        <v>-0.66292047500610396</v>
      </c>
      <c r="AS50" s="2">
        <v>-0.92503792047500599</v>
      </c>
      <c r="AU50" s="2">
        <v>-0.74907308816909801</v>
      </c>
      <c r="AV50" s="2">
        <v>-0.73911756277084395</v>
      </c>
      <c r="AW50" s="2">
        <v>-0.69520014524459794</v>
      </c>
      <c r="AX50" s="2">
        <v>-0.63308185338973999</v>
      </c>
      <c r="AY50" s="2">
        <v>-0.50838792324066195</v>
      </c>
      <c r="AZ50" s="2">
        <v>-0.43298038840293901</v>
      </c>
      <c r="BA50" s="2">
        <v>-0.38123598694801297</v>
      </c>
      <c r="BB50" s="2">
        <v>-0.36777758598327598</v>
      </c>
      <c r="BC50" s="2">
        <v>-0.27138561010360701</v>
      </c>
      <c r="BD50" s="2">
        <v>-0.217361465096474</v>
      </c>
      <c r="BE50" s="2">
        <v>-0.32591912150383001</v>
      </c>
      <c r="BF50" s="2">
        <v>-0.38826909661293002</v>
      </c>
      <c r="BG50" s="2">
        <v>-0.252291530370712</v>
      </c>
      <c r="BH50" s="2">
        <v>-0.24723581969738001</v>
      </c>
      <c r="BI50" s="2">
        <v>-0.26606816053390497</v>
      </c>
      <c r="BJ50" s="2">
        <v>-0.36663326621055597</v>
      </c>
      <c r="BK50" s="2">
        <v>-0.38374215364456199</v>
      </c>
      <c r="BL50" s="2">
        <v>-0.391183972358704</v>
      </c>
      <c r="BM50" s="2">
        <v>-0.49140262603759799</v>
      </c>
      <c r="BN50" s="2">
        <v>-0.47082850337028498</v>
      </c>
      <c r="BO50" s="2">
        <v>-0.42776024341583302</v>
      </c>
      <c r="BP50" s="2">
        <v>-0.45827293395996099</v>
      </c>
    </row>
    <row r="51" spans="1:68">
      <c r="A51" s="2" t="s">
        <v>152</v>
      </c>
      <c r="B51" s="2" t="s">
        <v>153</v>
      </c>
      <c r="C51" s="2" t="s">
        <v>837</v>
      </c>
      <c r="D51" s="2" t="s">
        <v>838</v>
      </c>
      <c r="AO51" s="2">
        <v>-0.87860429286956798</v>
      </c>
      <c r="AQ51" s="2">
        <v>-0.88138592243194602</v>
      </c>
      <c r="AS51" s="2">
        <v>-1.1684275865554801</v>
      </c>
      <c r="AU51" s="2">
        <v>-0.74469298124313399</v>
      </c>
      <c r="AV51" s="2">
        <v>-0.75148177146911599</v>
      </c>
      <c r="AW51" s="2">
        <v>-1.0169218778610201</v>
      </c>
      <c r="AX51" s="2">
        <v>-1.0441906452178999</v>
      </c>
      <c r="AY51" s="2">
        <v>-0.97707474231720004</v>
      </c>
      <c r="AZ51" s="2">
        <v>-1.0396374464035001</v>
      </c>
      <c r="BA51" s="2">
        <v>-1.06991398334503</v>
      </c>
      <c r="BB51" s="2">
        <v>-1.1579722166061399</v>
      </c>
      <c r="BC51" s="2">
        <v>-1.0762305259704601</v>
      </c>
      <c r="BD51" s="2">
        <v>-1.04647481441498</v>
      </c>
      <c r="BE51" s="2">
        <v>-1.07892954349518</v>
      </c>
      <c r="BF51" s="2">
        <v>-0.95536774396896396</v>
      </c>
      <c r="BG51" s="2">
        <v>-0.89868682622909501</v>
      </c>
      <c r="BH51" s="2">
        <v>-0.85290753841400102</v>
      </c>
      <c r="BI51" s="2">
        <v>-1.04841732978821</v>
      </c>
      <c r="BJ51" s="2">
        <v>-1.10258769989014</v>
      </c>
      <c r="BK51" s="2">
        <v>-1.14288258552551</v>
      </c>
      <c r="BL51" s="2">
        <v>-1.15722632408142</v>
      </c>
      <c r="BM51" s="2">
        <v>-1.2769696712493901</v>
      </c>
      <c r="BN51" s="2">
        <v>-1.2578433752059901</v>
      </c>
      <c r="BO51" s="2">
        <v>-1.3146048784255999</v>
      </c>
      <c r="BP51" s="2">
        <v>-1.3412847518920901</v>
      </c>
    </row>
    <row r="52" spans="1:68">
      <c r="A52" s="2" t="s">
        <v>154</v>
      </c>
      <c r="B52" s="2" t="s">
        <v>155</v>
      </c>
      <c r="C52" s="2" t="s">
        <v>837</v>
      </c>
      <c r="D52" s="2" t="s">
        <v>838</v>
      </c>
      <c r="AO52" s="2">
        <v>1.0441881418228101</v>
      </c>
      <c r="AQ52" s="2">
        <v>0.672074854373932</v>
      </c>
      <c r="AS52" s="2">
        <v>0.63842195272445701</v>
      </c>
      <c r="AU52" s="2">
        <v>0.26743361353874201</v>
      </c>
      <c r="AV52" s="2">
        <v>0.25637608766555797</v>
      </c>
      <c r="AW52" s="2">
        <v>0.34184914827346802</v>
      </c>
      <c r="AX52" s="2">
        <v>0.37414601445198098</v>
      </c>
      <c r="AY52" s="2">
        <v>0.64025640487670898</v>
      </c>
      <c r="AZ52" s="2">
        <v>0.61076551675796498</v>
      </c>
      <c r="BA52" s="2">
        <v>0.57134515047073398</v>
      </c>
      <c r="BB52" s="2">
        <v>0.53292971849441495</v>
      </c>
      <c r="BC52" s="2">
        <v>0.46327784657478299</v>
      </c>
      <c r="BD52" s="2">
        <v>0.50677043199539196</v>
      </c>
      <c r="BE52" s="2">
        <v>0.51407009363174405</v>
      </c>
      <c r="BF52" s="2">
        <v>0.55106610059738204</v>
      </c>
      <c r="BG52" s="2">
        <v>0.66185224056243896</v>
      </c>
      <c r="BH52" s="2">
        <v>0.56758755445480302</v>
      </c>
      <c r="BI52" s="2">
        <v>0.28491556644439697</v>
      </c>
      <c r="BJ52" s="2">
        <v>0.35290575027465798</v>
      </c>
      <c r="BK52" s="2">
        <v>0.39306238293647799</v>
      </c>
      <c r="BL52" s="2">
        <v>0.446793973445892</v>
      </c>
      <c r="BM52" s="2">
        <v>0.43083631992340099</v>
      </c>
      <c r="BN52" s="2">
        <v>0.32773488759994501</v>
      </c>
      <c r="BO52" s="2">
        <v>0.398660928010941</v>
      </c>
      <c r="BP52" s="2">
        <v>0.40010577440261802</v>
      </c>
    </row>
    <row r="53" spans="1:68">
      <c r="A53" s="2" t="s">
        <v>156</v>
      </c>
      <c r="B53" s="2" t="s">
        <v>157</v>
      </c>
      <c r="C53" s="2" t="s">
        <v>837</v>
      </c>
      <c r="D53" s="2" t="s">
        <v>838</v>
      </c>
      <c r="AO53" s="2">
        <v>0.61817687749862704</v>
      </c>
      <c r="AQ53" s="2">
        <v>0.63301265239715598</v>
      </c>
      <c r="AS53" s="2">
        <v>0.53707981109619096</v>
      </c>
      <c r="AU53" s="2">
        <v>0.55499720573425304</v>
      </c>
      <c r="AV53" s="2">
        <v>0.526866555213928</v>
      </c>
      <c r="AW53" s="2">
        <v>0.50290322303771995</v>
      </c>
      <c r="AX53" s="2">
        <v>0.49726366996765098</v>
      </c>
      <c r="AY53" s="2">
        <v>0.38971409201621998</v>
      </c>
      <c r="AZ53" s="2">
        <v>0.35434475541114802</v>
      </c>
      <c r="BA53" s="2">
        <v>0.45368933677673301</v>
      </c>
      <c r="BB53" s="2">
        <v>0.57880949974060103</v>
      </c>
      <c r="BC53" s="2">
        <v>0.53576087951660201</v>
      </c>
      <c r="BD53" s="2">
        <v>0.44325900077819802</v>
      </c>
      <c r="BE53" s="2">
        <v>0.52891147136688199</v>
      </c>
      <c r="BF53" s="2">
        <v>0.56385529041290305</v>
      </c>
      <c r="BG53" s="2">
        <v>0.58337479829788197</v>
      </c>
      <c r="BH53" s="2">
        <v>0.49279892444610601</v>
      </c>
      <c r="BI53" s="2">
        <v>0.43104165792465199</v>
      </c>
      <c r="BJ53" s="2">
        <v>0.42886871099472001</v>
      </c>
      <c r="BK53" s="2">
        <v>0.46783536672592202</v>
      </c>
      <c r="BL53" s="2">
        <v>0.52946418523788497</v>
      </c>
      <c r="BM53" s="2">
        <v>0.49883243441581698</v>
      </c>
      <c r="BN53" s="2">
        <v>0.423667222261429</v>
      </c>
      <c r="BO53" s="2">
        <v>0.43593278527259799</v>
      </c>
      <c r="BP53" s="2">
        <v>0.38931664824485801</v>
      </c>
    </row>
    <row r="54" spans="1:68">
      <c r="A54" s="2" t="s">
        <v>158</v>
      </c>
      <c r="B54" s="2" t="s">
        <v>159</v>
      </c>
      <c r="C54" s="2" t="s">
        <v>837</v>
      </c>
      <c r="D54" s="2" t="s">
        <v>838</v>
      </c>
    </row>
    <row r="55" spans="1:68">
      <c r="A55" s="2" t="s">
        <v>160</v>
      </c>
      <c r="B55" s="2" t="s">
        <v>161</v>
      </c>
      <c r="C55" s="2" t="s">
        <v>837</v>
      </c>
      <c r="D55" s="2" t="s">
        <v>838</v>
      </c>
      <c r="AO55" s="2">
        <v>-1.1368108987808201</v>
      </c>
      <c r="AQ55" s="2">
        <v>-1.0458632707595801</v>
      </c>
      <c r="AS55" s="2">
        <v>-1.04984867572784</v>
      </c>
      <c r="AU55" s="2">
        <v>-1.1739742755889899</v>
      </c>
      <c r="AV55" s="2">
        <v>-1.22319900989532</v>
      </c>
      <c r="AW55" s="2">
        <v>-1.1071197986602801</v>
      </c>
      <c r="AX55" s="2">
        <v>-1.0865347385406501</v>
      </c>
      <c r="AY55" s="2">
        <v>-0.763818800449371</v>
      </c>
      <c r="AZ55" s="2">
        <v>-0.69043165445327803</v>
      </c>
      <c r="BA55" s="2">
        <v>-0.82765567302703902</v>
      </c>
      <c r="BB55" s="2">
        <v>-0.71242606639862105</v>
      </c>
      <c r="BC55" s="2">
        <v>-0.72250902652740501</v>
      </c>
      <c r="BD55" s="2">
        <v>-0.69388163089752197</v>
      </c>
      <c r="BE55" s="2">
        <v>-0.70863258838653598</v>
      </c>
      <c r="BF55" s="2">
        <v>-0.69894266128539995</v>
      </c>
      <c r="BG55" s="2">
        <v>-0.65489953756332397</v>
      </c>
      <c r="BH55" s="2">
        <v>-0.71814841032028198</v>
      </c>
      <c r="BI55" s="2">
        <v>-0.458859443664551</v>
      </c>
      <c r="BJ55" s="2">
        <v>-0.44970205426216098</v>
      </c>
      <c r="BK55" s="2">
        <v>-0.46379205584526101</v>
      </c>
      <c r="BL55" s="2">
        <v>-0.34049451351165799</v>
      </c>
      <c r="BM55" s="2">
        <v>-0.28538504242897</v>
      </c>
      <c r="BN55" s="2">
        <v>-0.419912159442902</v>
      </c>
      <c r="BO55" s="2">
        <v>-0.46144968271255499</v>
      </c>
      <c r="BP55" s="2">
        <v>-0.45303919911384599</v>
      </c>
    </row>
    <row r="56" spans="1:68">
      <c r="A56" s="2" t="s">
        <v>162</v>
      </c>
      <c r="B56" s="2" t="s">
        <v>163</v>
      </c>
      <c r="C56" s="2" t="s">
        <v>837</v>
      </c>
      <c r="D56" s="2" t="s">
        <v>838</v>
      </c>
    </row>
    <row r="57" spans="1:68">
      <c r="A57" s="2" t="s">
        <v>164</v>
      </c>
      <c r="B57" s="2" t="s">
        <v>165</v>
      </c>
      <c r="C57" s="2" t="s">
        <v>837</v>
      </c>
      <c r="D57" s="2" t="s">
        <v>838</v>
      </c>
      <c r="AO57" s="2">
        <v>1.4597682952880899</v>
      </c>
      <c r="AQ57" s="2">
        <v>1.46096003055573</v>
      </c>
      <c r="AS57" s="2">
        <v>1.4913969039917001</v>
      </c>
      <c r="AU57" s="2">
        <v>1.4694184064865099</v>
      </c>
      <c r="AV57" s="2">
        <v>1.2284450531005899</v>
      </c>
      <c r="AW57" s="2">
        <v>1.1433179378509499</v>
      </c>
      <c r="AX57" s="2">
        <v>0.84743839502334595</v>
      </c>
      <c r="AY57" s="2">
        <v>1.0692214965820299</v>
      </c>
      <c r="AZ57" s="2">
        <v>1.09091985225677</v>
      </c>
      <c r="BA57" s="2">
        <v>1.1179795265197801</v>
      </c>
      <c r="BB57" s="2">
        <v>0.89096295833587602</v>
      </c>
      <c r="BC57" s="2">
        <v>0.89447939395904497</v>
      </c>
      <c r="BD57" s="2">
        <v>0.87653279304504395</v>
      </c>
      <c r="BE57" s="2">
        <v>0.89099979400634799</v>
      </c>
      <c r="BF57" s="2">
        <v>0.89576286077499401</v>
      </c>
      <c r="BG57" s="2">
        <v>0.58652412891387895</v>
      </c>
      <c r="BH57" s="2">
        <v>0.78342866897582997</v>
      </c>
      <c r="BI57" s="2">
        <v>0.76411044597625699</v>
      </c>
      <c r="BJ57" s="2">
        <v>0.744043588638306</v>
      </c>
      <c r="BK57" s="2">
        <v>0.73968303203582797</v>
      </c>
      <c r="BL57" s="2">
        <v>0.73353683948516801</v>
      </c>
      <c r="BM57" s="2">
        <v>0.72612798213958696</v>
      </c>
      <c r="BN57" s="2">
        <v>0.74144816398620605</v>
      </c>
      <c r="BO57" s="2">
        <v>0.72107034921646096</v>
      </c>
      <c r="BP57" s="2">
        <v>0.72178494930267301</v>
      </c>
    </row>
    <row r="58" spans="1:68">
      <c r="A58" s="2" t="s">
        <v>166</v>
      </c>
      <c r="B58" s="2" t="s">
        <v>167</v>
      </c>
      <c r="C58" s="2" t="s">
        <v>837</v>
      </c>
      <c r="D58" s="2" t="s">
        <v>838</v>
      </c>
      <c r="AO58" s="2">
        <v>0.85732102394104004</v>
      </c>
      <c r="AQ58" s="2">
        <v>0.94557654857635498</v>
      </c>
      <c r="AS58" s="2">
        <v>1.01605880260468</v>
      </c>
      <c r="AU58" s="2">
        <v>0.989593505859375</v>
      </c>
      <c r="AV58" s="2">
        <v>0.938781797885895</v>
      </c>
      <c r="AW58" s="2">
        <v>0.90867418050766002</v>
      </c>
      <c r="AX58" s="2">
        <v>0.87725812196731601</v>
      </c>
      <c r="AY58" s="2">
        <v>1.0939745903015099</v>
      </c>
      <c r="AZ58" s="2">
        <v>1.10558974742889</v>
      </c>
      <c r="BA58" s="2">
        <v>1.2066385746002199</v>
      </c>
      <c r="BB58" s="2">
        <v>1.2061339616775499</v>
      </c>
      <c r="BC58" s="2">
        <v>1.2096072435378999</v>
      </c>
      <c r="BD58" s="2">
        <v>1.06531310081482</v>
      </c>
      <c r="BE58" s="2">
        <v>1.0935593843460101</v>
      </c>
      <c r="BF58" s="2">
        <v>1.0299584865570099</v>
      </c>
      <c r="BG58" s="2">
        <v>1.0747168064117401</v>
      </c>
      <c r="BH58" s="2">
        <v>1.0102670192718499</v>
      </c>
      <c r="BI58" s="2">
        <v>0.69316089153289795</v>
      </c>
      <c r="BJ58" s="2">
        <v>0.85445451736450195</v>
      </c>
      <c r="BK58" s="2">
        <v>0.72105348110198997</v>
      </c>
      <c r="BL58" s="2">
        <v>0.72672724723815896</v>
      </c>
      <c r="BM58" s="2">
        <v>0.54723906517028797</v>
      </c>
      <c r="BN58" s="2">
        <v>0.60567933320999101</v>
      </c>
      <c r="BO58" s="2">
        <v>0.57012575864791903</v>
      </c>
      <c r="BP58" s="2">
        <v>0.62804031372070301</v>
      </c>
    </row>
    <row r="59" spans="1:68">
      <c r="A59" s="2" t="s">
        <v>168</v>
      </c>
      <c r="B59" s="2" t="s">
        <v>169</v>
      </c>
      <c r="C59" s="2" t="s">
        <v>837</v>
      </c>
      <c r="D59" s="2" t="s">
        <v>838</v>
      </c>
      <c r="AO59" s="2">
        <v>0.91532272100448597</v>
      </c>
      <c r="AQ59" s="2">
        <v>0.86627471446991</v>
      </c>
      <c r="AS59" s="2">
        <v>0.60711628198623702</v>
      </c>
      <c r="AU59" s="2">
        <v>0.85982513427734397</v>
      </c>
      <c r="AV59" s="2">
        <v>0.87370979785919201</v>
      </c>
      <c r="AW59" s="2">
        <v>0.75833076238632202</v>
      </c>
      <c r="AX59" s="2">
        <v>0.85774105787277199</v>
      </c>
      <c r="AY59" s="2">
        <v>0.862385094165802</v>
      </c>
      <c r="AZ59" s="2">
        <v>0.87874394655227706</v>
      </c>
      <c r="BA59" s="2">
        <v>0.90023720264434803</v>
      </c>
      <c r="BB59" s="2">
        <v>0.95621782541275002</v>
      </c>
      <c r="BC59" s="2">
        <v>0.930919170379639</v>
      </c>
      <c r="BD59" s="2">
        <v>1.0174971818923999</v>
      </c>
      <c r="BE59" s="2">
        <v>1.0226016044616699</v>
      </c>
      <c r="BF59" s="2">
        <v>1.02387058734894</v>
      </c>
      <c r="BG59" s="2">
        <v>1.13887214660645</v>
      </c>
      <c r="BH59" s="2">
        <v>1.1070873737335201</v>
      </c>
      <c r="BI59" s="2">
        <v>0.98832696676254295</v>
      </c>
      <c r="BJ59" s="2">
        <v>1.08858931064606</v>
      </c>
      <c r="BK59" s="2">
        <v>1.0198062658309901</v>
      </c>
      <c r="BL59" s="2">
        <v>1.0170935392379801</v>
      </c>
      <c r="BM59" s="2">
        <v>1.0184506177902199</v>
      </c>
      <c r="BN59" s="2">
        <v>1.0904072523117101</v>
      </c>
      <c r="BO59" s="2">
        <v>1.1003965139389</v>
      </c>
      <c r="BP59" s="2">
        <v>1.14218366146088</v>
      </c>
    </row>
    <row r="60" spans="1:68">
      <c r="A60" s="2" t="s">
        <v>170</v>
      </c>
      <c r="B60" s="2" t="s">
        <v>171</v>
      </c>
      <c r="C60" s="2" t="s">
        <v>837</v>
      </c>
      <c r="D60" s="2" t="s">
        <v>838</v>
      </c>
      <c r="AO60" s="2">
        <v>1.60952925682068</v>
      </c>
      <c r="AQ60" s="2">
        <v>1.6219894886016799</v>
      </c>
      <c r="AS60" s="2">
        <v>1.60941886901855</v>
      </c>
      <c r="AU60" s="2">
        <v>1.6343898773193399</v>
      </c>
      <c r="AV60" s="2">
        <v>1.6375846862793</v>
      </c>
      <c r="AW60" s="2">
        <v>1.6202044486999501</v>
      </c>
      <c r="AX60" s="2">
        <v>1.6521981954574601</v>
      </c>
      <c r="AY60" s="2">
        <v>1.77008616924286</v>
      </c>
      <c r="AZ60" s="2">
        <v>1.7555906772613501</v>
      </c>
      <c r="BA60" s="2">
        <v>1.73402619361877</v>
      </c>
      <c r="BB60" s="2">
        <v>1.6486722230911299</v>
      </c>
      <c r="BC60" s="2">
        <v>1.6375046968460101</v>
      </c>
      <c r="BD60" s="2">
        <v>1.61821925640106</v>
      </c>
      <c r="BE60" s="2">
        <v>1.6692320108413701</v>
      </c>
      <c r="BF60" s="2">
        <v>1.64198386669159</v>
      </c>
      <c r="BG60" s="2">
        <v>1.8502047061920199</v>
      </c>
      <c r="BH60" s="2">
        <v>1.7591400146484399</v>
      </c>
      <c r="BI60" s="2">
        <v>1.58330154418945</v>
      </c>
      <c r="BJ60" s="2">
        <v>1.5740704536437999</v>
      </c>
      <c r="BK60" s="2">
        <v>1.59137535095215</v>
      </c>
      <c r="BL60" s="2">
        <v>1.5813193321228001</v>
      </c>
      <c r="BM60" s="2">
        <v>1.5201277732849101</v>
      </c>
      <c r="BN60" s="2">
        <v>1.5718047618866</v>
      </c>
      <c r="BO60" s="2">
        <v>1.5319951772689799</v>
      </c>
      <c r="BP60" s="2">
        <v>1.55120778083801</v>
      </c>
    </row>
    <row r="61" spans="1:68">
      <c r="A61" s="2" t="s">
        <v>172</v>
      </c>
      <c r="B61" s="2" t="s">
        <v>173</v>
      </c>
      <c r="C61" s="2" t="s">
        <v>837</v>
      </c>
      <c r="D61" s="2" t="s">
        <v>838</v>
      </c>
      <c r="AO61" s="2">
        <v>-0.97161376476287797</v>
      </c>
      <c r="AQ61" s="2">
        <v>-0.90950101613998402</v>
      </c>
      <c r="AS61" s="2">
        <v>-0.88296622037887595</v>
      </c>
      <c r="AU61" s="2">
        <v>-0.93951004743576005</v>
      </c>
      <c r="AV61" s="2">
        <v>-0.87908238172531095</v>
      </c>
      <c r="AW61" s="2">
        <v>-0.77279621362686202</v>
      </c>
      <c r="AX61" s="2">
        <v>-0.95474761724472001</v>
      </c>
      <c r="AY61" s="2">
        <v>-0.88609266281127896</v>
      </c>
      <c r="AZ61" s="2">
        <v>-0.77105289697647095</v>
      </c>
      <c r="BA61" s="2">
        <v>-0.65667688846588101</v>
      </c>
      <c r="BB61" s="2">
        <v>-0.69753605127334595</v>
      </c>
      <c r="BC61" s="2">
        <v>-0.75210177898407005</v>
      </c>
      <c r="BD61" s="2">
        <v>-0.82172650098800704</v>
      </c>
      <c r="BE61" s="2">
        <v>-0.80362349748611495</v>
      </c>
      <c r="BF61" s="2">
        <v>-0.77461791038513195</v>
      </c>
      <c r="BG61" s="2">
        <v>-0.87594956159591697</v>
      </c>
      <c r="BH61" s="2">
        <v>-0.94479703903198198</v>
      </c>
      <c r="BI61" s="2">
        <v>-1.0007228851318399</v>
      </c>
      <c r="BJ61" s="2">
        <v>-0.93199795484542802</v>
      </c>
      <c r="BK61" s="2">
        <v>-0.95041364431381203</v>
      </c>
      <c r="BL61" s="2">
        <v>-0.94618707895278897</v>
      </c>
      <c r="BM61" s="2">
        <v>-1.0429867506027199</v>
      </c>
      <c r="BN61" s="2">
        <v>-1.02947497367859</v>
      </c>
      <c r="BO61" s="2">
        <v>-1.1026407480239899</v>
      </c>
      <c r="BP61" s="2">
        <v>-1.1251677274703999</v>
      </c>
    </row>
    <row r="62" spans="1:68">
      <c r="A62" s="2" t="s">
        <v>174</v>
      </c>
      <c r="B62" s="2" t="s">
        <v>175</v>
      </c>
      <c r="C62" s="2" t="s">
        <v>837</v>
      </c>
      <c r="D62" s="2" t="s">
        <v>838</v>
      </c>
      <c r="AO62" s="2">
        <v>0.84241569042205799</v>
      </c>
      <c r="AQ62" s="2">
        <v>0.84300786256790206</v>
      </c>
      <c r="AS62" s="2">
        <v>0.80364638566970803</v>
      </c>
      <c r="AU62" s="2">
        <v>0.80939096212387096</v>
      </c>
      <c r="AV62" s="2">
        <v>0.80443155765533403</v>
      </c>
      <c r="AW62" s="2">
        <v>0.72002840042114302</v>
      </c>
      <c r="AX62" s="2">
        <v>0.67716598510742199</v>
      </c>
      <c r="AY62" s="2">
        <v>0.74086618423461903</v>
      </c>
      <c r="AZ62" s="2">
        <v>0.70121973752975497</v>
      </c>
      <c r="BA62" s="2">
        <v>0.69338870048522905</v>
      </c>
      <c r="BB62" s="2">
        <v>0.74160367250442505</v>
      </c>
      <c r="BC62" s="2">
        <v>0.71776813268661499</v>
      </c>
      <c r="BD62" s="2">
        <v>0.68772858381271396</v>
      </c>
      <c r="BE62" s="2">
        <v>0.69913679361343395</v>
      </c>
      <c r="BF62" s="2">
        <v>0.720875084400177</v>
      </c>
      <c r="BG62" s="2">
        <v>0.54995864629745495</v>
      </c>
      <c r="BH62" s="2">
        <v>0.70205342769622803</v>
      </c>
      <c r="BI62" s="2">
        <v>0.64996302127838101</v>
      </c>
      <c r="BJ62" s="2">
        <v>0.65121990442276001</v>
      </c>
      <c r="BK62" s="2">
        <v>0.70445060729980502</v>
      </c>
      <c r="BL62" s="2">
        <v>0.71833711862564098</v>
      </c>
      <c r="BM62" s="2">
        <v>0.79157686233520497</v>
      </c>
      <c r="BN62" s="2">
        <v>0.69169837236404397</v>
      </c>
      <c r="BO62" s="2">
        <v>0.73418045043945301</v>
      </c>
      <c r="BP62" s="2">
        <v>0.62485259771347001</v>
      </c>
    </row>
    <row r="63" spans="1:68">
      <c r="A63" s="2" t="s">
        <v>176</v>
      </c>
      <c r="B63" s="2" t="s">
        <v>177</v>
      </c>
      <c r="C63" s="2" t="s">
        <v>837</v>
      </c>
      <c r="D63" s="2" t="s">
        <v>838</v>
      </c>
      <c r="AO63" s="2">
        <v>1.8208086490631099</v>
      </c>
      <c r="AQ63" s="2">
        <v>1.8372666835784901</v>
      </c>
      <c r="AS63" s="2">
        <v>1.80873346328735</v>
      </c>
      <c r="AU63" s="2">
        <v>1.88234078884125</v>
      </c>
      <c r="AV63" s="2">
        <v>1.92051100730896</v>
      </c>
      <c r="AW63" s="2">
        <v>1.9305239915847801</v>
      </c>
      <c r="AX63" s="2">
        <v>1.9361090660095199</v>
      </c>
      <c r="AY63" s="2">
        <v>1.98349893093109</v>
      </c>
      <c r="AZ63" s="2">
        <v>1.9951704740524301</v>
      </c>
      <c r="BA63" s="2">
        <v>1.95405626296997</v>
      </c>
      <c r="BB63" s="2">
        <v>1.9171271324157699</v>
      </c>
      <c r="BC63" s="2">
        <v>1.8984417915344201</v>
      </c>
      <c r="BD63" s="2">
        <v>1.9197913408279399</v>
      </c>
      <c r="BE63" s="2">
        <v>1.87506687641144</v>
      </c>
      <c r="BF63" s="2">
        <v>1.9022853374481199</v>
      </c>
      <c r="BG63" s="2">
        <v>2.1007382869720499</v>
      </c>
      <c r="BH63" s="2">
        <v>2.0151348114013699</v>
      </c>
      <c r="BI63" s="2">
        <v>1.8829472064971899</v>
      </c>
      <c r="BJ63" s="2">
        <v>1.8042683601379399</v>
      </c>
      <c r="BK63" s="2">
        <v>1.77322614192963</v>
      </c>
      <c r="BL63" s="2">
        <v>1.8333773612976101</v>
      </c>
      <c r="BM63" s="2">
        <v>1.8067936897277801</v>
      </c>
      <c r="BN63" s="2">
        <v>1.8957213163375899</v>
      </c>
      <c r="BO63" s="2">
        <v>1.8995805978775</v>
      </c>
      <c r="BP63" s="2">
        <v>1.90893590450287</v>
      </c>
    </row>
    <row r="64" spans="1:68">
      <c r="A64" s="2" t="s">
        <v>178</v>
      </c>
      <c r="B64" s="2" t="s">
        <v>179</v>
      </c>
      <c r="C64" s="2" t="s">
        <v>837</v>
      </c>
      <c r="D64" s="2" t="s">
        <v>838</v>
      </c>
      <c r="AO64" s="2">
        <v>-0.52259063720703103</v>
      </c>
      <c r="AQ64" s="2">
        <v>-0.57696026563644398</v>
      </c>
      <c r="AS64" s="2">
        <v>-0.67653739452362105</v>
      </c>
      <c r="AU64" s="2">
        <v>-0.70522469282150302</v>
      </c>
      <c r="AV64" s="2">
        <v>-0.64038270711898804</v>
      </c>
      <c r="AW64" s="2">
        <v>-0.68087089061737105</v>
      </c>
      <c r="AX64" s="2">
        <v>-0.685749292373657</v>
      </c>
      <c r="AY64" s="2">
        <v>-0.58469575643539395</v>
      </c>
      <c r="AZ64" s="2">
        <v>-0.62586259841918901</v>
      </c>
      <c r="BA64" s="2">
        <v>-0.68273562192916903</v>
      </c>
      <c r="BB64" s="2">
        <v>-0.80917406082153298</v>
      </c>
      <c r="BC64" s="2">
        <v>-0.85549420118331898</v>
      </c>
      <c r="BD64" s="2">
        <v>-0.80816906690597501</v>
      </c>
      <c r="BE64" s="2">
        <v>-0.71686583757400502</v>
      </c>
      <c r="BF64" s="2">
        <v>-0.53498560190200795</v>
      </c>
      <c r="BG64" s="2">
        <v>-0.38390472531318698</v>
      </c>
      <c r="BH64" s="2">
        <v>-0.52951925992965698</v>
      </c>
      <c r="BI64" s="2">
        <v>-0.39412418007850603</v>
      </c>
      <c r="BJ64" s="2">
        <v>-0.42801076173782299</v>
      </c>
      <c r="BK64" s="2">
        <v>-0.36524054408073398</v>
      </c>
      <c r="BL64" s="2">
        <v>-0.32030096650123602</v>
      </c>
      <c r="BM64" s="2">
        <v>-0.171013608574867</v>
      </c>
      <c r="BN64" s="2">
        <v>-0.11635073274374</v>
      </c>
      <c r="BO64" s="2">
        <v>-9.3353353440761594E-2</v>
      </c>
      <c r="BP64" s="2">
        <v>-0.12859228253364599</v>
      </c>
    </row>
    <row r="65" spans="1:68">
      <c r="A65" s="2" t="s">
        <v>180</v>
      </c>
      <c r="B65" s="2" t="s">
        <v>181</v>
      </c>
      <c r="C65" s="2" t="s">
        <v>837</v>
      </c>
      <c r="D65" s="2" t="s">
        <v>838</v>
      </c>
      <c r="AO65" s="2">
        <v>-1.21819484233856</v>
      </c>
      <c r="AQ65" s="2">
        <v>-1.1983621120452901</v>
      </c>
      <c r="AS65" s="2">
        <v>-1.24584436416626</v>
      </c>
      <c r="AU65" s="2">
        <v>-0.63673317432403598</v>
      </c>
      <c r="AV65" s="2">
        <v>-0.60538077354431197</v>
      </c>
      <c r="AW65" s="2">
        <v>-0.61628735065460205</v>
      </c>
      <c r="AX65" s="2">
        <v>-0.77364450693130504</v>
      </c>
      <c r="AY65" s="2">
        <v>-0.77520453929901101</v>
      </c>
      <c r="AZ65" s="2">
        <v>-0.79188644886016801</v>
      </c>
      <c r="BA65" s="2">
        <v>-0.767772257328033</v>
      </c>
      <c r="BB65" s="2">
        <v>-0.82556688785553001</v>
      </c>
      <c r="BC65" s="2">
        <v>-0.81679338216781605</v>
      </c>
      <c r="BD65" s="2">
        <v>-0.84533482789993297</v>
      </c>
      <c r="BE65" s="2">
        <v>-0.81261771917343095</v>
      </c>
      <c r="BF65" s="2">
        <v>-0.69340193271636996</v>
      </c>
      <c r="BG65" s="2">
        <v>-0.80465096235275302</v>
      </c>
      <c r="BH65" s="2">
        <v>-0.94196844100952104</v>
      </c>
      <c r="BI65" s="2">
        <v>-0.91665881872177102</v>
      </c>
      <c r="BJ65" s="2">
        <v>-0.925012648105621</v>
      </c>
      <c r="BK65" s="2">
        <v>-0.80697852373123202</v>
      </c>
      <c r="BL65" s="2">
        <v>-0.861034154891968</v>
      </c>
      <c r="BM65" s="2">
        <v>-0.79802757501602195</v>
      </c>
      <c r="BN65" s="2">
        <v>-0.83302283287048295</v>
      </c>
      <c r="BO65" s="2">
        <v>-0.83325999975204501</v>
      </c>
      <c r="BP65" s="2">
        <v>-0.67836439609527599</v>
      </c>
    </row>
    <row r="66" spans="1:68">
      <c r="A66" s="2" t="s">
        <v>182</v>
      </c>
      <c r="B66" s="2" t="s">
        <v>183</v>
      </c>
      <c r="C66" s="2" t="s">
        <v>837</v>
      </c>
      <c r="D66" s="2" t="s">
        <v>838</v>
      </c>
    </row>
    <row r="67" spans="1:68">
      <c r="A67" s="2" t="s">
        <v>184</v>
      </c>
      <c r="B67" s="2" t="s">
        <v>185</v>
      </c>
      <c r="C67" s="2" t="s">
        <v>837</v>
      </c>
      <c r="D67" s="2" t="s">
        <v>838</v>
      </c>
    </row>
    <row r="68" spans="1:68">
      <c r="A68" s="2" t="s">
        <v>186</v>
      </c>
      <c r="B68" s="2" t="s">
        <v>187</v>
      </c>
      <c r="C68" s="2" t="s">
        <v>837</v>
      </c>
      <c r="D68" s="2" t="s">
        <v>838</v>
      </c>
    </row>
    <row r="69" spans="1:68">
      <c r="A69" s="2" t="s">
        <v>188</v>
      </c>
      <c r="B69" s="2" t="s">
        <v>189</v>
      </c>
      <c r="C69" s="2" t="s">
        <v>837</v>
      </c>
      <c r="D69" s="2" t="s">
        <v>838</v>
      </c>
    </row>
    <row r="70" spans="1:68">
      <c r="A70" s="2" t="s">
        <v>190</v>
      </c>
      <c r="B70" s="2" t="s">
        <v>191</v>
      </c>
      <c r="C70" s="2" t="s">
        <v>837</v>
      </c>
      <c r="D70" s="2" t="s">
        <v>838</v>
      </c>
    </row>
    <row r="71" spans="1:68">
      <c r="A71" s="2" t="s">
        <v>192</v>
      </c>
      <c r="B71" s="2" t="s">
        <v>193</v>
      </c>
      <c r="C71" s="2" t="s">
        <v>837</v>
      </c>
      <c r="D71" s="2" t="s">
        <v>838</v>
      </c>
      <c r="AO71" s="2">
        <v>-0.44970777630806003</v>
      </c>
      <c r="AQ71" s="2">
        <v>-0.53955030441284202</v>
      </c>
      <c r="AS71" s="2">
        <v>-0.66636025905609098</v>
      </c>
      <c r="AU71" s="2">
        <v>-0.75651544332504295</v>
      </c>
      <c r="AV71" s="2">
        <v>-0.78057259321212802</v>
      </c>
      <c r="AW71" s="2">
        <v>-0.76489984989166304</v>
      </c>
      <c r="AX71" s="2">
        <v>-0.82137799263000499</v>
      </c>
      <c r="AY71" s="2">
        <v>-1.0310026407241799</v>
      </c>
      <c r="AZ71" s="2">
        <v>-1.0328614711761499</v>
      </c>
      <c r="BA71" s="2">
        <v>-1.1053063869476301</v>
      </c>
      <c r="BB71" s="2">
        <v>-1.20504021644592</v>
      </c>
      <c r="BC71" s="2">
        <v>-1.1432291269302399</v>
      </c>
      <c r="BD71" s="2">
        <v>-1.1442853212356601</v>
      </c>
      <c r="BE71" s="2">
        <v>-1.06392514705658</v>
      </c>
      <c r="BF71" s="2">
        <v>-0.87036359310150102</v>
      </c>
      <c r="BG71" s="2">
        <v>-0.97079229354858398</v>
      </c>
      <c r="BH71" s="2">
        <v>-0.95641845464706399</v>
      </c>
      <c r="BI71" s="2">
        <v>-0.64908361434936501</v>
      </c>
      <c r="BJ71" s="2">
        <v>-0.71814054250717196</v>
      </c>
      <c r="BK71" s="2">
        <v>-0.66326427459716797</v>
      </c>
      <c r="BL71" s="2">
        <v>-0.54295098781585704</v>
      </c>
      <c r="BM71" s="2">
        <v>-0.54094964265823398</v>
      </c>
      <c r="BN71" s="2">
        <v>-0.35499221086502097</v>
      </c>
      <c r="BO71" s="2">
        <v>-0.62078082561492898</v>
      </c>
      <c r="BP71" s="2">
        <v>-0.95779079198837302</v>
      </c>
    </row>
    <row r="72" spans="1:68">
      <c r="A72" s="2" t="s">
        <v>47</v>
      </c>
      <c r="B72" s="2" t="s">
        <v>194</v>
      </c>
      <c r="C72" s="2" t="s">
        <v>837</v>
      </c>
      <c r="D72" s="2" t="s">
        <v>838</v>
      </c>
      <c r="AO72" s="2">
        <v>1.2624410446733199E-3</v>
      </c>
      <c r="AQ72" s="2">
        <v>-0.126968279480934</v>
      </c>
      <c r="AS72" s="2">
        <v>-5.1582697778940201E-2</v>
      </c>
      <c r="AU72" s="2">
        <v>-1.14680724218488E-2</v>
      </c>
      <c r="AV72" s="2">
        <v>-2.3544689174741498E-3</v>
      </c>
      <c r="AW72" s="2">
        <v>1.3317895121872401E-2</v>
      </c>
      <c r="AX72" s="2">
        <v>-1.2232348090037699E-3</v>
      </c>
      <c r="AY72" s="2">
        <v>-0.27896744012832603</v>
      </c>
      <c r="AZ72" s="2">
        <v>-0.24621348083019301</v>
      </c>
      <c r="BA72" s="2">
        <v>-0.129783600568771</v>
      </c>
      <c r="BB72" s="2">
        <v>-8.3344995975494399E-2</v>
      </c>
      <c r="BC72" s="2">
        <v>-0.17486386001110099</v>
      </c>
      <c r="BD72" s="2">
        <v>-0.48389309644699102</v>
      </c>
      <c r="BE72" s="2">
        <v>-0.53639984130859397</v>
      </c>
      <c r="BF72" s="2">
        <v>-0.73585569858551003</v>
      </c>
      <c r="BG72" s="2">
        <v>-0.69840240478515603</v>
      </c>
      <c r="BH72" s="2">
        <v>-0.60183113813400302</v>
      </c>
      <c r="BI72" s="2">
        <v>-0.47747579216957098</v>
      </c>
      <c r="BJ72" s="2">
        <v>-0.44803613424301098</v>
      </c>
      <c r="BK72" s="2">
        <v>-0.30144557356834401</v>
      </c>
      <c r="BL72" s="2">
        <v>-0.33212333917617798</v>
      </c>
      <c r="BM72" s="2">
        <v>-0.31748306751251198</v>
      </c>
      <c r="BN72" s="2">
        <v>-0.26064571738243097</v>
      </c>
      <c r="BO72" s="2">
        <v>-0.26560452580451999</v>
      </c>
      <c r="BP72" s="2">
        <v>-0.184178426861763</v>
      </c>
    </row>
    <row r="73" spans="1:68">
      <c r="A73" s="2" t="s">
        <v>195</v>
      </c>
      <c r="B73" s="2" t="s">
        <v>196</v>
      </c>
      <c r="C73" s="2" t="s">
        <v>837</v>
      </c>
      <c r="D73" s="2" t="s">
        <v>838</v>
      </c>
    </row>
    <row r="74" spans="1:68">
      <c r="A74" s="2" t="s">
        <v>197</v>
      </c>
      <c r="B74" s="2" t="s">
        <v>198</v>
      </c>
      <c r="C74" s="2" t="s">
        <v>837</v>
      </c>
      <c r="D74" s="2" t="s">
        <v>838</v>
      </c>
      <c r="AO74" s="2">
        <v>-0.65513169765472401</v>
      </c>
      <c r="AQ74" s="2">
        <v>-0.63481616973876998</v>
      </c>
      <c r="AS74" s="2">
        <v>-0.79513126611709595</v>
      </c>
      <c r="AU74" s="2">
        <v>-0.73466682434081998</v>
      </c>
      <c r="AV74" s="2">
        <v>-0.817993104457855</v>
      </c>
      <c r="AW74" s="2">
        <v>-0.93358337879180897</v>
      </c>
      <c r="AX74" s="2">
        <v>-0.97551256418228105</v>
      </c>
      <c r="AY74" s="2">
        <v>-1.1800515651702901</v>
      </c>
      <c r="AZ74" s="2">
        <v>-1.2752668857574501</v>
      </c>
      <c r="BA74" s="2">
        <v>-1.30845546722412</v>
      </c>
      <c r="BB74" s="2">
        <v>-1.31468594074249</v>
      </c>
      <c r="BC74" s="2">
        <v>-1.3530371189117401</v>
      </c>
      <c r="BD74" s="2">
        <v>-1.36176204681396</v>
      </c>
      <c r="BE74" s="2">
        <v>-1.4254283905029299</v>
      </c>
      <c r="BF74" s="2">
        <v>-1.4311338663101201</v>
      </c>
      <c r="BG74" s="2">
        <v>-1.5670371055603001</v>
      </c>
      <c r="BH74" s="2">
        <v>-1.5254144668579099</v>
      </c>
      <c r="BI74" s="2">
        <v>-1.6622725725173999</v>
      </c>
      <c r="BJ74" s="2">
        <v>-1.5930860042571999</v>
      </c>
      <c r="BK74" s="2">
        <v>-1.6195166110992401</v>
      </c>
      <c r="BL74" s="2">
        <v>-1.6307995319366499</v>
      </c>
      <c r="BM74" s="2">
        <v>-1.49006807804108</v>
      </c>
      <c r="BN74" s="2">
        <v>-1.5835219621658301</v>
      </c>
      <c r="BO74" s="2">
        <v>-1.77305948734283</v>
      </c>
      <c r="BP74" s="2">
        <v>-1.7620557546615601</v>
      </c>
    </row>
    <row r="75" spans="1:68">
      <c r="A75" s="2" t="s">
        <v>199</v>
      </c>
      <c r="B75" s="2" t="s">
        <v>200</v>
      </c>
      <c r="C75" s="2" t="s">
        <v>837</v>
      </c>
      <c r="D75" s="2" t="s">
        <v>838</v>
      </c>
      <c r="AO75" s="2">
        <v>1.43508553504944</v>
      </c>
      <c r="AQ75" s="2">
        <v>1.30619204044342</v>
      </c>
      <c r="AS75" s="2">
        <v>1.4075014591217001</v>
      </c>
      <c r="AU75" s="2">
        <v>1.22893154621124</v>
      </c>
      <c r="AV75" s="2">
        <v>1.2477607727050799</v>
      </c>
      <c r="AW75" s="2">
        <v>1.12897205352783</v>
      </c>
      <c r="AX75" s="2">
        <v>1.1175495386123699</v>
      </c>
      <c r="AY75" s="2">
        <v>1.1198768615722701</v>
      </c>
      <c r="AZ75" s="2">
        <v>1.1538097858428999</v>
      </c>
      <c r="BA75" s="2">
        <v>1.18374812602997</v>
      </c>
      <c r="BB75" s="2">
        <v>1.1560022830963099</v>
      </c>
      <c r="BC75" s="2">
        <v>1.15678811073303</v>
      </c>
      <c r="BD75" s="2">
        <v>1.16937839984894</v>
      </c>
      <c r="BE75" s="2">
        <v>1.03779828548431</v>
      </c>
      <c r="BF75" s="2">
        <v>1.0253716707229601</v>
      </c>
      <c r="BG75" s="2">
        <v>0.96645593643188499</v>
      </c>
      <c r="BH75" s="2">
        <v>0.886066854000092</v>
      </c>
      <c r="BI75" s="2">
        <v>0.96535289287567105</v>
      </c>
      <c r="BJ75" s="2">
        <v>1.02435386180878</v>
      </c>
      <c r="BK75" s="2">
        <v>0.97809410095214799</v>
      </c>
      <c r="BL75" s="2">
        <v>0.99019217491149902</v>
      </c>
      <c r="BM75" s="2">
        <v>0.86096447706222501</v>
      </c>
      <c r="BN75" s="2">
        <v>0.84325826168060303</v>
      </c>
      <c r="BO75" s="2">
        <v>0.79916769266128496</v>
      </c>
      <c r="BP75" s="2">
        <v>0.82288569211959794</v>
      </c>
    </row>
    <row r="76" spans="1:68">
      <c r="A76" s="2" t="s">
        <v>201</v>
      </c>
      <c r="B76" s="2" t="s">
        <v>202</v>
      </c>
      <c r="C76" s="2" t="s">
        <v>837</v>
      </c>
      <c r="D76" s="2" t="s">
        <v>838</v>
      </c>
      <c r="AO76" s="2">
        <v>0.574426710605621</v>
      </c>
      <c r="AQ76" s="2">
        <v>0.59205418825149503</v>
      </c>
      <c r="AS76" s="2">
        <v>0.59471702575683605</v>
      </c>
      <c r="AU76" s="2">
        <v>0.79183781147003196</v>
      </c>
      <c r="AV76" s="2">
        <v>0.77081787586212203</v>
      </c>
      <c r="AW76" s="2">
        <v>0.883017778396606</v>
      </c>
      <c r="AX76" s="2">
        <v>0.903708636760712</v>
      </c>
      <c r="AY76" s="2">
        <v>1.12973201274872</v>
      </c>
      <c r="AZ76" s="2">
        <v>1.12227547168732</v>
      </c>
      <c r="BA76" s="2">
        <v>1.15543973445892</v>
      </c>
      <c r="BB76" s="2">
        <v>1.1246585845947299</v>
      </c>
      <c r="BC76" s="2">
        <v>1.1531299352645901</v>
      </c>
      <c r="BD76" s="2">
        <v>1.17581498622894</v>
      </c>
      <c r="BE76" s="2">
        <v>1.1509414911270099</v>
      </c>
      <c r="BF76" s="2">
        <v>1.1913702487945601</v>
      </c>
      <c r="BG76" s="2">
        <v>1.3698595762252801</v>
      </c>
      <c r="BH76" s="2">
        <v>1.3005079030990601</v>
      </c>
      <c r="BI76" s="2">
        <v>1.1925922632217401</v>
      </c>
      <c r="BJ76" s="2">
        <v>1.2484775781631501</v>
      </c>
      <c r="BK76" s="2">
        <v>1.20345735549927</v>
      </c>
      <c r="BL76" s="2">
        <v>1.2427259683609</v>
      </c>
      <c r="BM76" s="2">
        <v>1.33508813381195</v>
      </c>
      <c r="BN76" s="2">
        <v>1.3893580436706501</v>
      </c>
      <c r="BO76" s="2">
        <v>1.4262839555740401</v>
      </c>
      <c r="BP76" s="2">
        <v>1.4263889789581301</v>
      </c>
    </row>
    <row r="77" spans="1:68">
      <c r="A77" s="2" t="s">
        <v>203</v>
      </c>
      <c r="B77" s="2" t="s">
        <v>204</v>
      </c>
      <c r="C77" s="2" t="s">
        <v>837</v>
      </c>
      <c r="D77" s="2" t="s">
        <v>838</v>
      </c>
      <c r="AO77" s="2">
        <v>-0.96578854322433505</v>
      </c>
      <c r="AQ77" s="2">
        <v>-0.90867698192596402</v>
      </c>
      <c r="AS77" s="2">
        <v>-0.98371940851211503</v>
      </c>
      <c r="AU77" s="2">
        <v>-0.95930439233779896</v>
      </c>
      <c r="AV77" s="2">
        <v>-0.83428072929382302</v>
      </c>
      <c r="AW77" s="2">
        <v>-0.89344590902328502</v>
      </c>
      <c r="AX77" s="2">
        <v>-0.93889677524566695</v>
      </c>
      <c r="AY77" s="2">
        <v>-0.66751575469970703</v>
      </c>
      <c r="AZ77" s="2">
        <v>-0.65946310758590698</v>
      </c>
      <c r="BA77" s="2">
        <v>-0.70670068264007602</v>
      </c>
      <c r="BB77" s="2">
        <v>-0.83228188753128096</v>
      </c>
      <c r="BC77" s="2">
        <v>-0.80751913785934404</v>
      </c>
      <c r="BD77" s="2">
        <v>-0.74180436134338401</v>
      </c>
      <c r="BE77" s="2">
        <v>-0.67731785774231001</v>
      </c>
      <c r="BF77" s="2">
        <v>-0.64965867996215798</v>
      </c>
      <c r="BG77" s="2">
        <v>-0.46858373284339899</v>
      </c>
      <c r="BH77" s="2">
        <v>-0.52720171213150002</v>
      </c>
      <c r="BI77" s="2">
        <v>-0.50781869888305697</v>
      </c>
      <c r="BJ77" s="2">
        <v>-0.46982043981552102</v>
      </c>
      <c r="BK77" s="2">
        <v>-0.44471761584281899</v>
      </c>
      <c r="BL77" s="2">
        <v>-0.48202317953109702</v>
      </c>
      <c r="BM77" s="2">
        <v>-0.40288859605789201</v>
      </c>
      <c r="BN77" s="2">
        <v>-0.62326586246490501</v>
      </c>
      <c r="BO77" s="2">
        <v>-0.63589406013488803</v>
      </c>
      <c r="BP77" s="2">
        <v>-0.67020326852798495</v>
      </c>
    </row>
    <row r="78" spans="1:68">
      <c r="A78" s="2" t="s">
        <v>205</v>
      </c>
      <c r="B78" s="2" t="s">
        <v>206</v>
      </c>
      <c r="C78" s="2" t="s">
        <v>837</v>
      </c>
      <c r="D78" s="2" t="s">
        <v>838</v>
      </c>
    </row>
    <row r="79" spans="1:68">
      <c r="A79" s="2" t="s">
        <v>207</v>
      </c>
      <c r="B79" s="2" t="s">
        <v>208</v>
      </c>
      <c r="C79" s="2" t="s">
        <v>837</v>
      </c>
      <c r="D79" s="2" t="s">
        <v>838</v>
      </c>
    </row>
    <row r="80" spans="1:68">
      <c r="A80" s="2" t="s">
        <v>209</v>
      </c>
      <c r="B80" s="2" t="s">
        <v>210</v>
      </c>
      <c r="C80" s="2" t="s">
        <v>837</v>
      </c>
      <c r="D80" s="2" t="s">
        <v>838</v>
      </c>
      <c r="AO80" s="2">
        <v>1.9079215526580799</v>
      </c>
      <c r="AQ80" s="2">
        <v>1.95207500457764</v>
      </c>
      <c r="AS80" s="2">
        <v>1.95340764522552</v>
      </c>
      <c r="AU80" s="2">
        <v>1.9038889408111599</v>
      </c>
      <c r="AV80" s="2">
        <v>1.95863425731659</v>
      </c>
      <c r="AW80" s="2">
        <v>1.9398885965347299</v>
      </c>
      <c r="AX80" s="2">
        <v>1.9509415626525901</v>
      </c>
      <c r="AY80" s="2">
        <v>1.9595134258270299</v>
      </c>
      <c r="AZ80" s="2">
        <v>1.89684998989105</v>
      </c>
      <c r="BA80" s="2">
        <v>1.9103811979293801</v>
      </c>
      <c r="BB80" s="2">
        <v>1.9625688791275</v>
      </c>
      <c r="BC80" s="2">
        <v>1.96125268936157</v>
      </c>
      <c r="BD80" s="2">
        <v>1.9395380020141599</v>
      </c>
      <c r="BE80" s="2">
        <v>1.9440335035324099</v>
      </c>
      <c r="BF80" s="2">
        <v>1.95568263530731</v>
      </c>
      <c r="BG80" s="2">
        <v>2.1247615814209002</v>
      </c>
      <c r="BH80" s="2">
        <v>2.0530364513397199</v>
      </c>
      <c r="BI80" s="2">
        <v>2.0077157020568799</v>
      </c>
      <c r="BJ80" s="2">
        <v>2.0240676403045699</v>
      </c>
      <c r="BK80" s="2">
        <v>2.0343990325927699</v>
      </c>
      <c r="BL80" s="2">
        <v>2.0126290321350102</v>
      </c>
      <c r="BM80" s="2">
        <v>2.0185921192169198</v>
      </c>
      <c r="BN80" s="2">
        <v>2.0134761333465598</v>
      </c>
      <c r="BO80" s="2">
        <v>1.9578998088836701</v>
      </c>
      <c r="BP80" s="2">
        <v>1.96704590320587</v>
      </c>
    </row>
    <row r="81" spans="1:68">
      <c r="A81" s="2" t="s">
        <v>211</v>
      </c>
      <c r="B81" s="2" t="s">
        <v>212</v>
      </c>
      <c r="C81" s="2" t="s">
        <v>837</v>
      </c>
      <c r="D81" s="2" t="s">
        <v>838</v>
      </c>
      <c r="AO81" s="2">
        <v>0.32347479462623602</v>
      </c>
      <c r="AQ81" s="2">
        <v>0.34351804852485701</v>
      </c>
      <c r="AS81" s="2">
        <v>-0.27672737836837802</v>
      </c>
      <c r="AU81" s="2">
        <v>6.90796505659819E-3</v>
      </c>
      <c r="AV81" s="2">
        <v>9.9745448678731901E-3</v>
      </c>
      <c r="AW81" s="2">
        <v>6.8388350307941395E-2</v>
      </c>
      <c r="AX81" s="2">
        <v>0.103356398642063</v>
      </c>
      <c r="AY81" s="2">
        <v>5.1683943718671799E-2</v>
      </c>
      <c r="AZ81" s="2">
        <v>-0.621160268783569</v>
      </c>
      <c r="BA81" s="2">
        <v>-0.57461303472518899</v>
      </c>
      <c r="BB81" s="2">
        <v>-0.86507958173751798</v>
      </c>
      <c r="BC81" s="2">
        <v>-0.74432474374771096</v>
      </c>
      <c r="BD81" s="2">
        <v>-0.71145743131637595</v>
      </c>
      <c r="BE81" s="2">
        <v>-0.67112576961517301</v>
      </c>
      <c r="BF81" s="2">
        <v>-0.72581166028976396</v>
      </c>
      <c r="BG81" s="2">
        <v>-0.51377975940704301</v>
      </c>
      <c r="BH81" s="2">
        <v>-0.36294907331466703</v>
      </c>
      <c r="BI81" s="2">
        <v>-9.0100213885307298E-2</v>
      </c>
      <c r="BJ81" s="2">
        <v>-8.15383344888687E-2</v>
      </c>
      <c r="BK81" s="2">
        <v>0.17670877277851099</v>
      </c>
      <c r="BL81" s="2">
        <v>0.42247340083122298</v>
      </c>
      <c r="BM81" s="2">
        <v>0.19752390682697299</v>
      </c>
      <c r="BN81" s="2">
        <v>0.30067428946495101</v>
      </c>
      <c r="BO81" s="2">
        <v>0.32531625032424899</v>
      </c>
      <c r="BP81" s="2">
        <v>0.304903954267502</v>
      </c>
    </row>
    <row r="82" spans="1:68">
      <c r="A82" s="2" t="s">
        <v>213</v>
      </c>
      <c r="B82" s="2" t="s">
        <v>214</v>
      </c>
      <c r="C82" s="2" t="s">
        <v>837</v>
      </c>
      <c r="D82" s="2" t="s">
        <v>838</v>
      </c>
      <c r="AO82" s="2">
        <v>1.4836833477020299</v>
      </c>
      <c r="AQ82" s="2">
        <v>1.3645157814025901</v>
      </c>
      <c r="AS82" s="2">
        <v>1.43230748176575</v>
      </c>
      <c r="AU82" s="2">
        <v>1.2128726243972801</v>
      </c>
      <c r="AV82" s="2">
        <v>1.3332889080047601</v>
      </c>
      <c r="AW82" s="2">
        <v>1.42519283294678</v>
      </c>
      <c r="AX82" s="2">
        <v>1.40783047676086</v>
      </c>
      <c r="AY82" s="2">
        <v>1.4621728658676101</v>
      </c>
      <c r="AZ82" s="2">
        <v>1.4563744068145801</v>
      </c>
      <c r="BA82" s="2">
        <v>1.4962737560272199</v>
      </c>
      <c r="BB82" s="2">
        <v>1.44575703144073</v>
      </c>
      <c r="BC82" s="2">
        <v>1.4997315406799301</v>
      </c>
      <c r="BD82" s="2">
        <v>1.4297348260879501</v>
      </c>
      <c r="BE82" s="2">
        <v>1.4369324445724501</v>
      </c>
      <c r="BF82" s="2">
        <v>1.4023628234863299</v>
      </c>
      <c r="BG82" s="2">
        <v>1.45350301265717</v>
      </c>
      <c r="BH82" s="2">
        <v>1.3667955398559599</v>
      </c>
      <c r="BI82" s="2">
        <v>1.35156190395355</v>
      </c>
      <c r="BJ82" s="2">
        <v>1.3980618715286299</v>
      </c>
      <c r="BK82" s="2">
        <v>1.39622473716736</v>
      </c>
      <c r="BL82" s="2">
        <v>1.3714848756790201</v>
      </c>
      <c r="BM82" s="2">
        <v>1.29872727394104</v>
      </c>
      <c r="BN82" s="2">
        <v>1.25916755199432</v>
      </c>
      <c r="BO82" s="2">
        <v>1.1805833578109699</v>
      </c>
      <c r="BP82" s="2">
        <v>1.18057084083557</v>
      </c>
    </row>
    <row r="83" spans="1:68">
      <c r="A83" s="2" t="s">
        <v>215</v>
      </c>
      <c r="B83" s="2" t="s">
        <v>216</v>
      </c>
      <c r="C83" s="2" t="s">
        <v>837</v>
      </c>
      <c r="D83" s="2" t="s">
        <v>838</v>
      </c>
    </row>
    <row r="84" spans="1:68">
      <c r="A84" s="2" t="s">
        <v>217</v>
      </c>
      <c r="B84" s="2" t="s">
        <v>218</v>
      </c>
      <c r="C84" s="2" t="s">
        <v>837</v>
      </c>
      <c r="D84" s="2" t="s">
        <v>838</v>
      </c>
      <c r="AO84" s="2">
        <v>0.80914056301116899</v>
      </c>
      <c r="AQ84" s="2">
        <v>0.87650817632675204</v>
      </c>
      <c r="AS84" s="2">
        <v>0.83971226215362504</v>
      </c>
      <c r="AU84" s="2">
        <v>0.83394581079482999</v>
      </c>
      <c r="AV84" s="2">
        <v>0.83328413963317904</v>
      </c>
      <c r="AW84" s="2">
        <v>1.0125544071197501</v>
      </c>
      <c r="AX84" s="2">
        <v>1.1335692405700699</v>
      </c>
      <c r="AY84" s="2">
        <v>1.18363726139069</v>
      </c>
      <c r="AZ84" s="2">
        <v>1.1589167118072501</v>
      </c>
      <c r="BA84" s="2">
        <v>0.506980240345001</v>
      </c>
      <c r="BB84" s="2">
        <v>0.32872551679611201</v>
      </c>
      <c r="BC84" s="2">
        <v>0.14250549674034099</v>
      </c>
      <c r="BD84" s="2">
        <v>-4.9869216978549999E-2</v>
      </c>
      <c r="BE84" s="2">
        <v>3.2678116112947499E-2</v>
      </c>
      <c r="BF84" s="2">
        <v>0.120454177260399</v>
      </c>
      <c r="BG84" s="2">
        <v>-0.244081646203995</v>
      </c>
      <c r="BH84" s="2">
        <v>-0.28312662243843101</v>
      </c>
      <c r="BI84" s="2">
        <v>-2.5845784693956401E-3</v>
      </c>
      <c r="BJ84" s="2">
        <v>4.9692161381244701E-2</v>
      </c>
      <c r="BK84" s="2">
        <v>3.4677181392908103E-2</v>
      </c>
      <c r="BL84" s="2">
        <v>8.1638149917125702E-2</v>
      </c>
      <c r="BM84" s="2">
        <v>0.19041825830936401</v>
      </c>
      <c r="BN84" s="2">
        <v>0.521661937236786</v>
      </c>
      <c r="BO84" s="2">
        <v>0.68965399265289296</v>
      </c>
      <c r="BP84" s="2">
        <v>0.64396917819976796</v>
      </c>
    </row>
    <row r="85" spans="1:68">
      <c r="A85" s="2" t="s">
        <v>219</v>
      </c>
      <c r="B85" s="2" t="s">
        <v>220</v>
      </c>
      <c r="C85" s="2" t="s">
        <v>837</v>
      </c>
      <c r="D85" s="2" t="s">
        <v>838</v>
      </c>
      <c r="AO85" s="2">
        <v>-0.65305227041244496</v>
      </c>
      <c r="AQ85" s="2">
        <v>-0.370705366134644</v>
      </c>
      <c r="AS85" s="2">
        <v>-0.18271169066429099</v>
      </c>
      <c r="AU85" s="2">
        <v>-0.249034658074379</v>
      </c>
      <c r="AV85" s="2">
        <v>-0.40603095293045</v>
      </c>
      <c r="AW85" s="2">
        <v>-0.483542829751968</v>
      </c>
      <c r="AX85" s="2">
        <v>-0.39670604467392001</v>
      </c>
      <c r="AY85" s="2">
        <v>-0.75450623035430897</v>
      </c>
      <c r="AZ85" s="2">
        <v>-0.706393182277679</v>
      </c>
      <c r="BA85" s="2">
        <v>-0.62444061040878296</v>
      </c>
      <c r="BB85" s="2">
        <v>-0.50371974706649802</v>
      </c>
      <c r="BC85" s="2">
        <v>-0.46141034364700301</v>
      </c>
      <c r="BD85" s="2">
        <v>-0.40313419699668901</v>
      </c>
      <c r="BE85" s="2">
        <v>-0.41480648517608598</v>
      </c>
      <c r="BF85" s="2">
        <v>-0.52260303497314498</v>
      </c>
      <c r="BG85" s="2">
        <v>-0.473323464393616</v>
      </c>
      <c r="BH85" s="2">
        <v>-0.56437301635742199</v>
      </c>
      <c r="BI85" s="2">
        <v>-0.61177611351013195</v>
      </c>
      <c r="BJ85" s="2">
        <v>-0.72350442409515403</v>
      </c>
      <c r="BK85" s="2">
        <v>-0.71978610754013095</v>
      </c>
      <c r="BL85" s="2">
        <v>-0.75618863105773904</v>
      </c>
      <c r="BM85" s="2">
        <v>-0.67991143465042103</v>
      </c>
      <c r="BN85" s="2">
        <v>-0.70818877220153797</v>
      </c>
      <c r="BO85" s="2">
        <v>-0.82375687360763505</v>
      </c>
      <c r="BP85" s="2">
        <v>-0.87269335985183705</v>
      </c>
    </row>
    <row r="86" spans="1:68">
      <c r="A86" s="2" t="s">
        <v>221</v>
      </c>
      <c r="B86" s="2" t="s">
        <v>222</v>
      </c>
      <c r="C86" s="2" t="s">
        <v>837</v>
      </c>
      <c r="D86" s="2" t="s">
        <v>838</v>
      </c>
      <c r="AO86" s="2">
        <v>1.62873435020447</v>
      </c>
      <c r="AQ86" s="2">
        <v>1.73309910297394</v>
      </c>
      <c r="AS86" s="2">
        <v>1.6671435832977299</v>
      </c>
      <c r="AU86" s="2">
        <v>1.6518923044204701</v>
      </c>
      <c r="AV86" s="2">
        <v>1.6673995256423999</v>
      </c>
      <c r="AW86" s="2">
        <v>1.60760021209717</v>
      </c>
      <c r="AX86" s="2">
        <v>1.55816102027893</v>
      </c>
      <c r="AY86" s="2">
        <v>1.77239453792572</v>
      </c>
      <c r="AZ86" s="2">
        <v>1.72019219398499</v>
      </c>
      <c r="BA86" s="2">
        <v>1.69664943218231</v>
      </c>
      <c r="BB86" s="2">
        <v>1.7315977811813399</v>
      </c>
      <c r="BC86" s="2">
        <v>1.77469253540039</v>
      </c>
      <c r="BD86" s="2">
        <v>1.6587437391281099</v>
      </c>
      <c r="BE86" s="2">
        <v>1.72941386699677</v>
      </c>
      <c r="BF86" s="2">
        <v>1.68938088417053</v>
      </c>
      <c r="BG86" s="2">
        <v>1.8746819496154801</v>
      </c>
      <c r="BH86" s="2">
        <v>1.7706881761550901</v>
      </c>
      <c r="BI86" s="2">
        <v>1.63999843597412</v>
      </c>
      <c r="BJ86" s="2">
        <v>1.6450653076171899</v>
      </c>
      <c r="BK86" s="2">
        <v>1.6031792163848899</v>
      </c>
      <c r="BL86" s="2">
        <v>1.56992924213409</v>
      </c>
      <c r="BM86" s="2">
        <v>1.4639643430709799</v>
      </c>
      <c r="BN86" s="2">
        <v>1.39551365375519</v>
      </c>
      <c r="BO86" s="2">
        <v>1.4137982130050699</v>
      </c>
      <c r="BP86" s="2">
        <v>1.39836597442627</v>
      </c>
    </row>
    <row r="87" spans="1:68">
      <c r="A87" s="2" t="s">
        <v>30</v>
      </c>
      <c r="B87" s="2" t="s">
        <v>223</v>
      </c>
      <c r="C87" s="2" t="s">
        <v>837</v>
      </c>
      <c r="D87" s="2" t="s">
        <v>838</v>
      </c>
      <c r="AO87" s="2">
        <v>-1.2563259601593</v>
      </c>
      <c r="AQ87" s="2">
        <v>-1.2181487083435101</v>
      </c>
      <c r="AS87" s="2">
        <v>-0.93849754333496105</v>
      </c>
      <c r="AU87" s="2">
        <v>-1.0840562582016</v>
      </c>
      <c r="AV87" s="2">
        <v>-0.91225409507751498</v>
      </c>
      <c r="AW87" s="2">
        <v>-0.74976998567581199</v>
      </c>
      <c r="AX87" s="2">
        <v>-0.69596260786056496</v>
      </c>
      <c r="AY87" s="2">
        <v>-0.46166732907295199</v>
      </c>
      <c r="AZ87" s="2">
        <v>-0.34445914626121499</v>
      </c>
      <c r="BA87" s="2">
        <v>-0.26294445991516102</v>
      </c>
      <c r="BB87" s="2">
        <v>-0.19931532442569699</v>
      </c>
      <c r="BC87" s="2">
        <v>-0.20598497986793499</v>
      </c>
      <c r="BD87" s="2">
        <v>-0.119617037475109</v>
      </c>
      <c r="BE87" s="2">
        <v>-6.2173483893275304E-3</v>
      </c>
      <c r="BF87" s="2">
        <v>4.9099563620984598E-3</v>
      </c>
      <c r="BG87" s="2">
        <v>0.22474896907806399</v>
      </c>
      <c r="BH87" s="2">
        <v>0.22280541062355</v>
      </c>
      <c r="BI87" s="2">
        <v>0.33577191829681402</v>
      </c>
      <c r="BJ87" s="2">
        <v>0.26274272799491899</v>
      </c>
      <c r="BK87" s="2">
        <v>0.27051076292991599</v>
      </c>
      <c r="BL87" s="2">
        <v>0.24869154393672899</v>
      </c>
      <c r="BM87" s="2">
        <v>0.222878128290176</v>
      </c>
      <c r="BN87" s="2">
        <v>0.14443676173687001</v>
      </c>
      <c r="BO87" s="2">
        <v>0.16946941614151001</v>
      </c>
      <c r="BP87" s="2">
        <v>0.177279338240623</v>
      </c>
    </row>
    <row r="88" spans="1:68">
      <c r="A88" s="2" t="s">
        <v>224</v>
      </c>
      <c r="B88" s="2" t="s">
        <v>225</v>
      </c>
      <c r="C88" s="2" t="s">
        <v>837</v>
      </c>
      <c r="D88" s="2" t="s">
        <v>838</v>
      </c>
      <c r="AO88" s="2">
        <v>-0.23357824981212599</v>
      </c>
      <c r="AQ88" s="2">
        <v>-0.439805567264557</v>
      </c>
      <c r="AS88" s="2">
        <v>7.8732706606388106E-2</v>
      </c>
      <c r="AU88" s="2">
        <v>2.3213814944028899E-2</v>
      </c>
      <c r="AV88" s="2">
        <v>7.8606856986880302E-3</v>
      </c>
      <c r="AW88" s="2">
        <v>-0.12628741562366499</v>
      </c>
      <c r="AX88" s="2">
        <v>-0.13452546298503901</v>
      </c>
      <c r="AY88" s="2">
        <v>5.6496635079383899E-2</v>
      </c>
      <c r="AZ88" s="2">
        <v>3.9233431220054599E-2</v>
      </c>
      <c r="BA88" s="2">
        <v>-6.23820126056671E-2</v>
      </c>
      <c r="BB88" s="2">
        <v>-4.2356919497251497E-2</v>
      </c>
      <c r="BC88" s="2">
        <v>-3.3293351531028699E-2</v>
      </c>
      <c r="BD88" s="2">
        <v>-3.1440763268619802E-3</v>
      </c>
      <c r="BE88" s="2">
        <v>1.66694633662701E-2</v>
      </c>
      <c r="BF88" s="2">
        <v>0.15412329137325301</v>
      </c>
      <c r="BG88" s="2">
        <v>6.3402399420738206E-2</v>
      </c>
      <c r="BH88" s="2">
        <v>0.123091638088226</v>
      </c>
      <c r="BI88" s="2">
        <v>3.3230070024728803E-2</v>
      </c>
      <c r="BJ88" s="2">
        <v>0.105520524084568</v>
      </c>
      <c r="BK88" s="2">
        <v>5.1087148487567902E-2</v>
      </c>
      <c r="BL88" s="2">
        <v>1.2740803882479701E-2</v>
      </c>
      <c r="BM88" s="2">
        <v>-8.2128517329692799E-2</v>
      </c>
      <c r="BN88" s="2">
        <v>-0.107684418559074</v>
      </c>
      <c r="BO88" s="2">
        <v>-7.9547338187694494E-2</v>
      </c>
      <c r="BP88" s="2">
        <v>-9.96378883719444E-2</v>
      </c>
    </row>
    <row r="89" spans="1:68">
      <c r="A89" s="2" t="s">
        <v>226</v>
      </c>
      <c r="B89" s="2" t="s">
        <v>227</v>
      </c>
      <c r="C89" s="2" t="s">
        <v>837</v>
      </c>
      <c r="D89" s="2" t="s">
        <v>838</v>
      </c>
    </row>
    <row r="90" spans="1:68">
      <c r="A90" s="2" t="s">
        <v>228</v>
      </c>
      <c r="B90" s="2" t="s">
        <v>229</v>
      </c>
      <c r="C90" s="2" t="s">
        <v>837</v>
      </c>
      <c r="D90" s="2" t="s">
        <v>838</v>
      </c>
      <c r="AO90" s="2">
        <v>-1.4470801353454601</v>
      </c>
      <c r="AQ90" s="2">
        <v>-1.39176893234253</v>
      </c>
      <c r="AS90" s="2">
        <v>-1.3891794681549099</v>
      </c>
      <c r="AU90" s="2">
        <v>-1.0802047252655</v>
      </c>
      <c r="AV90" s="2">
        <v>-1.1540662050247199</v>
      </c>
      <c r="AW90" s="2">
        <v>-1.3023222684860201</v>
      </c>
      <c r="AX90" s="2">
        <v>-1.4234533309936499</v>
      </c>
      <c r="AY90" s="2">
        <v>-1.4209954738616899</v>
      </c>
      <c r="AZ90" s="2">
        <v>-1.4520692825317401</v>
      </c>
      <c r="BA90" s="2">
        <v>-1.5402762889862101</v>
      </c>
      <c r="BB90" s="2">
        <v>-1.5522994995117201</v>
      </c>
      <c r="BC90" s="2">
        <v>-1.4856327772140501</v>
      </c>
      <c r="BD90" s="2">
        <v>-1.4481726884841899</v>
      </c>
      <c r="BE90" s="2">
        <v>-1.39905977249146</v>
      </c>
      <c r="BF90" s="2">
        <v>-1.3835492134094201</v>
      </c>
      <c r="BG90" s="2">
        <v>-1.3679667711257899</v>
      </c>
      <c r="BH90" s="2">
        <v>-1.1881396770477299</v>
      </c>
      <c r="BI90" s="2">
        <v>-1.2448418140411399</v>
      </c>
      <c r="BJ90" s="2">
        <v>-1.25424540042877</v>
      </c>
      <c r="BK90" s="2">
        <v>-1.2317943572998</v>
      </c>
      <c r="BL90" s="2">
        <v>-1.2371699810028101</v>
      </c>
      <c r="BM90" s="2">
        <v>-1.30379867553711</v>
      </c>
      <c r="BN90" s="2">
        <v>-1.1587705612182599</v>
      </c>
      <c r="BO90" s="2">
        <v>-1.0977193117141699</v>
      </c>
      <c r="BP90" s="2">
        <v>-1.1139661073684699</v>
      </c>
    </row>
    <row r="91" spans="1:68">
      <c r="A91" s="2" t="s">
        <v>230</v>
      </c>
      <c r="B91" s="2" t="s">
        <v>231</v>
      </c>
      <c r="C91" s="2" t="s">
        <v>837</v>
      </c>
      <c r="D91" s="2" t="s">
        <v>838</v>
      </c>
      <c r="AO91" s="2">
        <v>1.6981299966573701E-2</v>
      </c>
      <c r="AQ91" s="2">
        <v>-2.6204362511634801E-3</v>
      </c>
      <c r="AS91" s="2">
        <v>-0.145569503307343</v>
      </c>
      <c r="AU91" s="2">
        <v>-0.18029408156871801</v>
      </c>
      <c r="AV91" s="2">
        <v>0.16301116347312899</v>
      </c>
      <c r="AW91" s="2">
        <v>-0.38944494724273698</v>
      </c>
      <c r="AX91" s="2">
        <v>-0.45684778690338101</v>
      </c>
      <c r="AY91" s="2">
        <v>-0.37112534046173101</v>
      </c>
      <c r="AZ91" s="2">
        <v>-0.33050766587257402</v>
      </c>
      <c r="BA91" s="2">
        <v>-0.42535746097564697</v>
      </c>
      <c r="BB91" s="2">
        <v>-0.51913988590240501</v>
      </c>
      <c r="BC91" s="2">
        <v>-0.570687115192413</v>
      </c>
      <c r="BD91" s="2">
        <v>-0.55886894464492798</v>
      </c>
      <c r="BE91" s="2">
        <v>-0.59986788034439098</v>
      </c>
      <c r="BF91" s="2">
        <v>-0.64950203895568803</v>
      </c>
      <c r="BG91" s="2">
        <v>-0.69665050506591797</v>
      </c>
      <c r="BH91" s="2">
        <v>-0.74547129869461104</v>
      </c>
      <c r="BI91" s="2">
        <v>-0.79870855808258101</v>
      </c>
      <c r="BJ91" s="2">
        <v>-0.45393157005310097</v>
      </c>
      <c r="BK91" s="2">
        <v>-0.45575711131095897</v>
      </c>
      <c r="BL91" s="2">
        <v>-0.40560030937194802</v>
      </c>
      <c r="BM91" s="2">
        <v>-0.39353498816490201</v>
      </c>
      <c r="BN91" s="2">
        <v>-0.40562090277671797</v>
      </c>
      <c r="BO91" s="2">
        <v>-0.45512077212333701</v>
      </c>
      <c r="BP91" s="2">
        <v>-0.37431454658508301</v>
      </c>
    </row>
    <row r="92" spans="1:68">
      <c r="A92" s="2" t="s">
        <v>232</v>
      </c>
      <c r="B92" s="2" t="s">
        <v>233</v>
      </c>
      <c r="C92" s="2" t="s">
        <v>837</v>
      </c>
      <c r="D92" s="2" t="s">
        <v>838</v>
      </c>
      <c r="AO92" s="2">
        <v>-1.67290616035461</v>
      </c>
      <c r="AQ92" s="2">
        <v>-1.88013207912445</v>
      </c>
      <c r="AS92" s="2">
        <v>-1.3194612264633201</v>
      </c>
      <c r="AU92" s="2">
        <v>-1.1076014041900599</v>
      </c>
      <c r="AV92" s="2">
        <v>-1.22637474536896</v>
      </c>
      <c r="AW92" s="2">
        <v>-1.19844830036163</v>
      </c>
      <c r="AX92" s="2">
        <v>-1.25956666469574</v>
      </c>
      <c r="AY92" s="2">
        <v>-1.2561019659042401</v>
      </c>
      <c r="AZ92" s="2">
        <v>-1.32537257671356</v>
      </c>
      <c r="BA92" s="2">
        <v>-1.40603303909302</v>
      </c>
      <c r="BB92" s="2">
        <v>-1.3470274209976201</v>
      </c>
      <c r="BC92" s="2">
        <v>-1.3369501829147299</v>
      </c>
      <c r="BD92" s="2">
        <v>-1.32349252700806</v>
      </c>
      <c r="BE92" s="2">
        <v>-1.5423930883407599</v>
      </c>
      <c r="BF92" s="2">
        <v>-1.6119669675827</v>
      </c>
      <c r="BG92" s="2">
        <v>-1.3387714624404901</v>
      </c>
      <c r="BH92" s="2">
        <v>-1.3125401735305799</v>
      </c>
      <c r="BI92" s="2">
        <v>-1.53768706321716</v>
      </c>
      <c r="BJ92" s="2">
        <v>-1.46411693096161</v>
      </c>
      <c r="BK92" s="2">
        <v>-1.26597440242767</v>
      </c>
      <c r="BL92" s="2">
        <v>-1.3033255338668801</v>
      </c>
      <c r="BM92" s="2">
        <v>-1.4002873897552499</v>
      </c>
      <c r="BN92" s="2">
        <v>-1.4620885848998999</v>
      </c>
      <c r="BO92" s="2">
        <v>-1.45402991771698</v>
      </c>
      <c r="BP92" s="2">
        <v>-1.4364368915557899</v>
      </c>
    </row>
    <row r="93" spans="1:68">
      <c r="A93" s="2" t="s">
        <v>234</v>
      </c>
      <c r="B93" s="2" t="s">
        <v>235</v>
      </c>
      <c r="C93" s="2" t="s">
        <v>837</v>
      </c>
      <c r="D93" s="2" t="s">
        <v>838</v>
      </c>
      <c r="AO93" s="2">
        <v>-1.2832177877426101</v>
      </c>
      <c r="AQ93" s="2">
        <v>-1.3528146743774401</v>
      </c>
      <c r="AS93" s="2">
        <v>-1.33589220046997</v>
      </c>
      <c r="AU93" s="2">
        <v>-1.2443336248397801</v>
      </c>
      <c r="AV93" s="2">
        <v>-1.22688519954681</v>
      </c>
      <c r="AW93" s="2">
        <v>-1.1965682506561299</v>
      </c>
      <c r="AX93" s="2">
        <v>-1.2388770580291699</v>
      </c>
      <c r="AY93" s="2">
        <v>-1.0935627222061199</v>
      </c>
      <c r="AZ93" s="2">
        <v>-0.98628067970275901</v>
      </c>
      <c r="BA93" s="2">
        <v>-0.87139225006103505</v>
      </c>
      <c r="BB93" s="2">
        <v>-0.98819977045059204</v>
      </c>
      <c r="BC93" s="2">
        <v>-1.01070928573608</v>
      </c>
      <c r="BD93" s="2">
        <v>-1.0083744525909399</v>
      </c>
      <c r="BE93" s="2">
        <v>-1.04977643489838</v>
      </c>
      <c r="BF93" s="2">
        <v>-1.1685154438018801</v>
      </c>
      <c r="BG93" s="2">
        <v>-1.3171094655990601</v>
      </c>
      <c r="BH93" s="2">
        <v>-1.33420670032501</v>
      </c>
      <c r="BI93" s="2">
        <v>-1.3906271457672099</v>
      </c>
      <c r="BJ93" s="2">
        <v>-1.3683493137359599</v>
      </c>
      <c r="BK93" s="2">
        <v>-1.4231773614883401</v>
      </c>
      <c r="BL93" s="2">
        <v>-1.2847534418106099</v>
      </c>
      <c r="BM93" s="2">
        <v>-1.1583423614502</v>
      </c>
      <c r="BN93" s="2">
        <v>-1.2027556896209699</v>
      </c>
      <c r="BO93" s="2">
        <v>-1.4082678556442301</v>
      </c>
      <c r="BP93" s="2">
        <v>-1.3386864662170399</v>
      </c>
    </row>
    <row r="94" spans="1:68">
      <c r="A94" s="2" t="s">
        <v>236</v>
      </c>
      <c r="B94" s="2" t="s">
        <v>237</v>
      </c>
      <c r="C94" s="2" t="s">
        <v>837</v>
      </c>
      <c r="D94" s="2" t="s">
        <v>838</v>
      </c>
      <c r="AO94" s="2">
        <v>1.0535236597061199</v>
      </c>
      <c r="AQ94" s="2">
        <v>0.77567034959793102</v>
      </c>
      <c r="AS94" s="2">
        <v>0.86104452610015902</v>
      </c>
      <c r="AU94" s="2">
        <v>0.72384524345397905</v>
      </c>
      <c r="AV94" s="2">
        <v>0.78970998525619496</v>
      </c>
      <c r="AW94" s="2">
        <v>0.89913421869277999</v>
      </c>
      <c r="AX94" s="2">
        <v>0.784953773021698</v>
      </c>
      <c r="AY94" s="2">
        <v>0.86340147256851196</v>
      </c>
      <c r="AZ94" s="2">
        <v>0.85928773880004905</v>
      </c>
      <c r="BA94" s="2">
        <v>0.85360300540924094</v>
      </c>
      <c r="BB94" s="2">
        <v>0.64684432744979903</v>
      </c>
      <c r="BC94" s="2">
        <v>0.583895683288574</v>
      </c>
      <c r="BD94" s="2">
        <v>0.53332716226577803</v>
      </c>
      <c r="BE94" s="2">
        <v>0.38823157548904402</v>
      </c>
      <c r="BF94" s="2">
        <v>0.46731653809547402</v>
      </c>
      <c r="BG94" s="2">
        <v>0.37398678064346302</v>
      </c>
      <c r="BH94" s="2">
        <v>0.25249212980270402</v>
      </c>
      <c r="BI94" s="2">
        <v>0.112394168972969</v>
      </c>
      <c r="BJ94" s="2">
        <v>5.0266612321138403E-2</v>
      </c>
      <c r="BK94" s="2">
        <v>0.113017320632935</v>
      </c>
      <c r="BL94" s="2">
        <v>0.15807260572910301</v>
      </c>
      <c r="BM94" s="2">
        <v>0.28897303342819203</v>
      </c>
      <c r="BN94" s="2">
        <v>0.321165591478348</v>
      </c>
      <c r="BO94" s="2">
        <v>0.32513487339019798</v>
      </c>
      <c r="BP94" s="2">
        <v>0.21315857768058799</v>
      </c>
    </row>
    <row r="95" spans="1:68">
      <c r="A95" s="2" t="s">
        <v>238</v>
      </c>
      <c r="B95" s="2" t="s">
        <v>239</v>
      </c>
      <c r="C95" s="2" t="s">
        <v>837</v>
      </c>
      <c r="D95" s="2" t="s">
        <v>838</v>
      </c>
      <c r="AO95" s="2">
        <v>0.42555719614028897</v>
      </c>
      <c r="AQ95" s="2">
        <v>0.42189741134643599</v>
      </c>
      <c r="AS95" s="2">
        <v>0.34113198518753102</v>
      </c>
      <c r="AU95" s="2">
        <v>0.359068334102631</v>
      </c>
      <c r="AV95" s="2">
        <v>0.337395370006561</v>
      </c>
      <c r="AW95" s="2">
        <v>0.28041607141494801</v>
      </c>
      <c r="AX95" s="2">
        <v>0.37823817133903498</v>
      </c>
      <c r="AY95" s="2">
        <v>0.25932291150093101</v>
      </c>
      <c r="AZ95" s="2">
        <v>0.191248714923859</v>
      </c>
      <c r="BA95" s="2">
        <v>0.127722352743149</v>
      </c>
      <c r="BB95" s="2">
        <v>0.157519295811653</v>
      </c>
      <c r="BC95" s="2">
        <v>0.118389397859573</v>
      </c>
      <c r="BD95" s="2">
        <v>0.17234438657760601</v>
      </c>
      <c r="BE95" s="2">
        <v>0.18664245307445501</v>
      </c>
      <c r="BF95" s="2">
        <v>0.19955943524837499</v>
      </c>
      <c r="BG95" s="2">
        <v>-0.13762371242046401</v>
      </c>
      <c r="BH95" s="2">
        <v>0.174890741705894</v>
      </c>
      <c r="BI95" s="2">
        <v>0.62033265829086304</v>
      </c>
      <c r="BJ95" s="2">
        <v>0.45405742526054399</v>
      </c>
      <c r="BK95" s="2">
        <v>0.249509677290916</v>
      </c>
      <c r="BL95" s="2">
        <v>0.18732574582099901</v>
      </c>
      <c r="BM95" s="2">
        <v>0.32769039273262002</v>
      </c>
      <c r="BN95" s="2">
        <v>0.490485429763794</v>
      </c>
      <c r="BO95" s="2">
        <v>0.55559009313583396</v>
      </c>
      <c r="BP95" s="2">
        <v>0.60494929552078203</v>
      </c>
    </row>
    <row r="96" spans="1:68">
      <c r="A96" s="2" t="s">
        <v>240</v>
      </c>
      <c r="B96" s="2" t="s">
        <v>241</v>
      </c>
      <c r="C96" s="2" t="s">
        <v>837</v>
      </c>
      <c r="D96" s="2" t="s">
        <v>838</v>
      </c>
      <c r="BB96" s="2">
        <v>1.71611428260803</v>
      </c>
      <c r="BC96" s="2">
        <v>1.72867774963379</v>
      </c>
      <c r="BD96" s="2">
        <v>1.73314356803894</v>
      </c>
      <c r="BE96" s="2">
        <v>1.7124276161193801</v>
      </c>
      <c r="BF96" s="2">
        <v>1.6892517805099501</v>
      </c>
      <c r="BG96" s="2">
        <v>1.7345507144928001</v>
      </c>
      <c r="BH96" s="2">
        <v>1.6716878414154099</v>
      </c>
      <c r="BI96" s="2">
        <v>1.6899064779281601</v>
      </c>
      <c r="BJ96" s="2">
        <v>1.68990814685822</v>
      </c>
      <c r="BK96" s="2">
        <v>1.70181095600128</v>
      </c>
      <c r="BL96" s="2">
        <v>1.71062612533569</v>
      </c>
      <c r="BM96" s="2">
        <v>1.7011866569519001</v>
      </c>
      <c r="BN96" s="2">
        <v>1.6868488788604701</v>
      </c>
      <c r="BO96" s="2">
        <v>1.68988716602325</v>
      </c>
      <c r="BP96" s="2">
        <v>1.68432629108429</v>
      </c>
    </row>
    <row r="97" spans="1:68">
      <c r="A97" s="2" t="s">
        <v>242</v>
      </c>
      <c r="B97" s="2" t="s">
        <v>243</v>
      </c>
      <c r="C97" s="2" t="s">
        <v>837</v>
      </c>
      <c r="D97" s="2" t="s">
        <v>838</v>
      </c>
      <c r="AO97" s="2">
        <v>-1.12648820877075</v>
      </c>
      <c r="AQ97" s="2">
        <v>-1.04127037525177</v>
      </c>
      <c r="AS97" s="2">
        <v>-0.88579159975051902</v>
      </c>
      <c r="AU97" s="2">
        <v>-0.990891993045807</v>
      </c>
      <c r="AV97" s="2">
        <v>-1.1009407043457</v>
      </c>
      <c r="AW97" s="2">
        <v>-1.0620985031127901</v>
      </c>
      <c r="AX97" s="2">
        <v>-1.04830694198608</v>
      </c>
      <c r="AY97" s="2">
        <v>-1.09776103496552</v>
      </c>
      <c r="AZ97" s="2">
        <v>-1.12104868888855</v>
      </c>
      <c r="BA97" s="2">
        <v>-1.12228560447693</v>
      </c>
      <c r="BB97" s="2">
        <v>-1.01313829421997</v>
      </c>
      <c r="BC97" s="2">
        <v>-0.94412386417388905</v>
      </c>
      <c r="BD97" s="2">
        <v>-1.0314147472381601</v>
      </c>
      <c r="BE97" s="2">
        <v>-1.0839196443557699</v>
      </c>
      <c r="BF97" s="2">
        <v>-1.0942586660385101</v>
      </c>
      <c r="BG97" s="2">
        <v>-0.956323862075806</v>
      </c>
      <c r="BH97" s="2">
        <v>-0.95410692691803001</v>
      </c>
      <c r="BI97" s="2">
        <v>-1.03206479549408</v>
      </c>
      <c r="BJ97" s="2">
        <v>-1.0772886276245099</v>
      </c>
      <c r="BK97" s="2">
        <v>-1.0757360458373999</v>
      </c>
      <c r="BL97" s="2">
        <v>-1.1004271507263199</v>
      </c>
      <c r="BM97" s="2">
        <v>-1.10039258003235</v>
      </c>
      <c r="BN97" s="2">
        <v>-1.11025655269623</v>
      </c>
      <c r="BO97" s="2">
        <v>-1.12746357917786</v>
      </c>
      <c r="BP97" s="2">
        <v>-1.0752770900726301</v>
      </c>
    </row>
    <row r="98" spans="1:68">
      <c r="A98" s="2" t="s">
        <v>244</v>
      </c>
      <c r="B98" s="2" t="s">
        <v>245</v>
      </c>
      <c r="C98" s="2" t="s">
        <v>837</v>
      </c>
      <c r="D98" s="2" t="s">
        <v>838</v>
      </c>
      <c r="AW98" s="2">
        <v>0.99145716428756703</v>
      </c>
      <c r="AX98" s="2">
        <v>1.1094154119491599</v>
      </c>
      <c r="AY98" s="2">
        <v>1.0692214965820299</v>
      </c>
      <c r="AZ98" s="2">
        <v>1.09091985225677</v>
      </c>
      <c r="BA98" s="2">
        <v>1.1179795265197801</v>
      </c>
      <c r="BB98" s="2">
        <v>1.1250547170639</v>
      </c>
      <c r="BC98" s="2">
        <v>1.1112082004547099</v>
      </c>
      <c r="BD98" s="2">
        <v>1.09095239639282</v>
      </c>
      <c r="BE98" s="2">
        <v>1.0963672399520901</v>
      </c>
      <c r="BF98" s="2">
        <v>1.1014382839202901</v>
      </c>
      <c r="BG98" s="2">
        <v>1.4073128700256301</v>
      </c>
      <c r="BH98" s="2">
        <v>1.28552782535553</v>
      </c>
      <c r="BI98" s="2">
        <v>1.0453804731369001</v>
      </c>
      <c r="BJ98" s="2">
        <v>1.2953011989593499</v>
      </c>
      <c r="BK98" s="2">
        <v>1.2965961694717401</v>
      </c>
      <c r="BL98" s="2">
        <v>1.2682017087936399</v>
      </c>
      <c r="BM98" s="2">
        <v>1.1184880733489999</v>
      </c>
      <c r="BN98" s="2">
        <v>1.13875997066498</v>
      </c>
      <c r="BO98" s="2">
        <v>1.2211159467697099</v>
      </c>
      <c r="BP98" s="2">
        <v>0.94808334112167403</v>
      </c>
    </row>
    <row r="99" spans="1:68">
      <c r="A99" s="2" t="s">
        <v>246</v>
      </c>
      <c r="B99" s="2" t="s">
        <v>247</v>
      </c>
      <c r="C99" s="2" t="s">
        <v>837</v>
      </c>
      <c r="D99" s="2" t="s">
        <v>838</v>
      </c>
      <c r="AO99" s="2">
        <v>-0.20385032892227201</v>
      </c>
      <c r="AQ99" s="2">
        <v>-0.36715385317802401</v>
      </c>
      <c r="AS99" s="2">
        <v>-0.42361468076705899</v>
      </c>
      <c r="AU99" s="2">
        <v>-0.51788288354873702</v>
      </c>
      <c r="AV99" s="2">
        <v>-0.57590085268020597</v>
      </c>
      <c r="AW99" s="2">
        <v>-0.61994314193725597</v>
      </c>
      <c r="AX99" s="2">
        <v>-0.66384780406951904</v>
      </c>
      <c r="AY99" s="2">
        <v>-0.56446725130081199</v>
      </c>
      <c r="AZ99" s="2">
        <v>-0.45705521106719998</v>
      </c>
      <c r="BA99" s="2">
        <v>-0.58065164089202903</v>
      </c>
      <c r="BB99" s="2">
        <v>-0.55584496259689298</v>
      </c>
      <c r="BC99" s="2">
        <v>-0.47712087631225603</v>
      </c>
      <c r="BD99" s="2">
        <v>-0.510029077529907</v>
      </c>
      <c r="BE99" s="2">
        <v>-0.51826572418212902</v>
      </c>
      <c r="BF99" s="2">
        <v>-0.52450746297836304</v>
      </c>
      <c r="BG99" s="2">
        <v>-0.61471390724182096</v>
      </c>
      <c r="BH99" s="2">
        <v>-0.54108011722564697</v>
      </c>
      <c r="BI99" s="2">
        <v>-0.31342539191245999</v>
      </c>
      <c r="BJ99" s="2">
        <v>-0.29922360181808499</v>
      </c>
      <c r="BK99" s="2">
        <v>-0.38360184431076</v>
      </c>
      <c r="BL99" s="2">
        <v>-0.44516894221305803</v>
      </c>
      <c r="BM99" s="2">
        <v>-0.43357652425766002</v>
      </c>
      <c r="BN99" s="2">
        <v>-0.41662156581878701</v>
      </c>
      <c r="BO99" s="2">
        <v>-0.313437700271606</v>
      </c>
      <c r="BP99" s="2">
        <v>-0.34223291277885398</v>
      </c>
    </row>
    <row r="100" spans="1:68">
      <c r="A100" s="2" t="s">
        <v>248</v>
      </c>
      <c r="B100" s="2" t="s">
        <v>249</v>
      </c>
      <c r="C100" s="2" t="s">
        <v>837</v>
      </c>
      <c r="D100" s="2" t="s">
        <v>838</v>
      </c>
    </row>
    <row r="101" spans="1:68">
      <c r="A101" s="2" t="s">
        <v>250</v>
      </c>
      <c r="B101" s="2" t="s">
        <v>251</v>
      </c>
      <c r="C101" s="2" t="s">
        <v>837</v>
      </c>
      <c r="D101" s="2" t="s">
        <v>838</v>
      </c>
      <c r="AO101" s="2">
        <v>0.75056576728820801</v>
      </c>
      <c r="AQ101" s="2">
        <v>0.98414069414138805</v>
      </c>
      <c r="AS101" s="2">
        <v>0.79650509357452404</v>
      </c>
      <c r="AU101" s="2">
        <v>1.26554250717163</v>
      </c>
      <c r="AV101" s="2">
        <v>1.53687572479248</v>
      </c>
      <c r="AW101" s="2">
        <v>1.56783330440521</v>
      </c>
      <c r="AX101" s="2">
        <v>1.60160768032074</v>
      </c>
      <c r="AY101" s="2">
        <v>1.53962767124176</v>
      </c>
      <c r="AZ101" s="2">
        <v>1.51000499725342</v>
      </c>
      <c r="BA101" s="2">
        <v>1.47821688652039</v>
      </c>
      <c r="BB101" s="2">
        <v>1.48886930942535</v>
      </c>
      <c r="BC101" s="2">
        <v>1.5360306501388501</v>
      </c>
      <c r="BD101" s="2">
        <v>1.5457003116607699</v>
      </c>
      <c r="BE101" s="2">
        <v>1.5735670328140301</v>
      </c>
      <c r="BF101" s="2">
        <v>1.5655810832977299</v>
      </c>
      <c r="BG101" s="2">
        <v>1.8563102483749401</v>
      </c>
      <c r="BH101" s="2">
        <v>1.7902643680572501</v>
      </c>
      <c r="BI101" s="2">
        <v>1.6841124296188399</v>
      </c>
      <c r="BJ101" s="2">
        <v>1.68126904964447</v>
      </c>
      <c r="BK101" s="2">
        <v>1.72965824604034</v>
      </c>
      <c r="BL101" s="2">
        <v>1.56565248966217</v>
      </c>
      <c r="BM101" s="2">
        <v>1.55023634433746</v>
      </c>
      <c r="BN101" s="2">
        <v>1.4116529226303101</v>
      </c>
      <c r="BO101" s="2">
        <v>1.2781629562377901</v>
      </c>
      <c r="BP101" s="2">
        <v>1.29364585876465</v>
      </c>
    </row>
    <row r="102" spans="1:68">
      <c r="A102" s="2" t="s">
        <v>252</v>
      </c>
      <c r="B102" s="2" t="s">
        <v>253</v>
      </c>
      <c r="C102" s="2" t="s">
        <v>837</v>
      </c>
      <c r="D102" s="2" t="s">
        <v>838</v>
      </c>
      <c r="AO102" s="2">
        <v>-0.92934924364089999</v>
      </c>
      <c r="AQ102" s="2">
        <v>-0.885578393936157</v>
      </c>
      <c r="AS102" s="2">
        <v>-0.998041212558746</v>
      </c>
      <c r="AU102" s="2">
        <v>-0.87959194183349598</v>
      </c>
      <c r="AV102" s="2">
        <v>-0.93645173311233498</v>
      </c>
      <c r="AW102" s="2">
        <v>-0.85029071569442705</v>
      </c>
      <c r="AX102" s="2">
        <v>-0.77110075950622603</v>
      </c>
      <c r="AY102" s="2">
        <v>-0.98868316411972001</v>
      </c>
      <c r="AZ102" s="2">
        <v>-0.92894291877746604</v>
      </c>
      <c r="BA102" s="2">
        <v>-0.97136306762695301</v>
      </c>
      <c r="BB102" s="2">
        <v>-0.89550197124481201</v>
      </c>
      <c r="BC102" s="2">
        <v>-0.87531405687332198</v>
      </c>
      <c r="BD102" s="2">
        <v>-0.90536087751388505</v>
      </c>
      <c r="BE102" s="2">
        <v>-1.1464250087737999</v>
      </c>
      <c r="BF102" s="2">
        <v>-1.17302989959717</v>
      </c>
      <c r="BG102" s="2">
        <v>-0.94330734014511097</v>
      </c>
      <c r="BH102" s="2">
        <v>-0.94261163473129295</v>
      </c>
      <c r="BI102" s="2">
        <v>-1.1369264125823999</v>
      </c>
      <c r="BJ102" s="2">
        <v>-1.06041383743286</v>
      </c>
      <c r="BK102" s="2">
        <v>-1.05719459056854</v>
      </c>
      <c r="BL102" s="2">
        <v>-1.0414981842041</v>
      </c>
      <c r="BM102" s="2">
        <v>-1.0103334188461299</v>
      </c>
      <c r="BN102" s="2">
        <v>-1.08797383308411</v>
      </c>
      <c r="BO102" s="2">
        <v>-1.0175416469573999</v>
      </c>
      <c r="BP102" s="2">
        <v>-1.0950081348419201</v>
      </c>
    </row>
    <row r="103" spans="1:68">
      <c r="A103" s="2" t="s">
        <v>254</v>
      </c>
      <c r="B103" s="2" t="s">
        <v>255</v>
      </c>
      <c r="C103" s="2" t="s">
        <v>837</v>
      </c>
      <c r="D103" s="2" t="s">
        <v>838</v>
      </c>
    </row>
    <row r="104" spans="1:68">
      <c r="A104" s="2" t="s">
        <v>256</v>
      </c>
      <c r="B104" s="2" t="s">
        <v>257</v>
      </c>
      <c r="C104" s="2" t="s">
        <v>837</v>
      </c>
      <c r="D104" s="2" t="s">
        <v>838</v>
      </c>
      <c r="AO104" s="2">
        <v>-0.63423216342926003</v>
      </c>
      <c r="AQ104" s="2">
        <v>-0.406373351812363</v>
      </c>
      <c r="AS104" s="2">
        <v>-2.9868535697460199E-2</v>
      </c>
      <c r="AU104" s="2">
        <v>-0.14479292929172499</v>
      </c>
      <c r="AV104" s="2">
        <v>-4.5993946492672001E-2</v>
      </c>
      <c r="AW104" s="2">
        <v>4.1216488927602803E-2</v>
      </c>
      <c r="AX104" s="2">
        <v>8.3347566425800296E-2</v>
      </c>
      <c r="AY104" s="2">
        <v>-4.8246040940284701E-2</v>
      </c>
      <c r="AZ104" s="2">
        <v>3.8477756083011599E-2</v>
      </c>
      <c r="BA104" s="2">
        <v>2.5006728246808101E-2</v>
      </c>
      <c r="BB104" s="2">
        <v>4.3875947594642598E-2</v>
      </c>
      <c r="BC104" s="2">
        <v>8.0469034612178802E-2</v>
      </c>
      <c r="BD104" s="2">
        <v>0.10939598083496101</v>
      </c>
      <c r="BE104" s="2">
        <v>0.14507900178432501</v>
      </c>
      <c r="BF104" s="2">
        <v>0.17796219885349299</v>
      </c>
      <c r="BG104" s="2">
        <v>0.218224167823792</v>
      </c>
      <c r="BH104" s="2">
        <v>0.12741246819496199</v>
      </c>
      <c r="BI104" s="2">
        <v>0.33985698223114003</v>
      </c>
      <c r="BJ104" s="2">
        <v>0.308922588825226</v>
      </c>
      <c r="BK104" s="2">
        <v>0.30152964591980003</v>
      </c>
      <c r="BL104" s="2">
        <v>0.34826853871345498</v>
      </c>
      <c r="BM104" s="2">
        <v>0.23618556559085799</v>
      </c>
      <c r="BN104" s="2">
        <v>0.27541893720626798</v>
      </c>
      <c r="BO104" s="2">
        <v>0.36779710650443997</v>
      </c>
      <c r="BP104" s="2">
        <v>0.36060556769370999</v>
      </c>
    </row>
    <row r="105" spans="1:68">
      <c r="A105" s="2" t="s">
        <v>258</v>
      </c>
      <c r="B105" s="2" t="s">
        <v>259</v>
      </c>
      <c r="C105" s="2" t="s">
        <v>837</v>
      </c>
      <c r="D105" s="2" t="s">
        <v>838</v>
      </c>
      <c r="AO105" s="2">
        <v>-1.3873907327652</v>
      </c>
      <c r="AQ105" s="2">
        <v>-1.4251893758773799</v>
      </c>
      <c r="AS105" s="2">
        <v>-1.4550364017486599</v>
      </c>
      <c r="AU105" s="2">
        <v>-1.7139093875885001</v>
      </c>
      <c r="AV105" s="2">
        <v>-1.7371635437011701</v>
      </c>
      <c r="AW105" s="2">
        <v>-1.7293291091918901</v>
      </c>
      <c r="AX105" s="2">
        <v>-1.6630886793136599</v>
      </c>
      <c r="AY105" s="2">
        <v>-1.41297435760498</v>
      </c>
      <c r="AZ105" s="2">
        <v>-1.3499499559402499</v>
      </c>
      <c r="BA105" s="2">
        <v>-1.285773396492</v>
      </c>
      <c r="BB105" s="2">
        <v>-1.3343037366867101</v>
      </c>
      <c r="BC105" s="2">
        <v>-1.3831758499145499</v>
      </c>
      <c r="BD105" s="2">
        <v>-1.418013215065</v>
      </c>
      <c r="BE105" s="2">
        <v>-1.3321002721786499</v>
      </c>
      <c r="BF105" s="2">
        <v>-1.3005675077438399</v>
      </c>
      <c r="BG105" s="2">
        <v>-1.1803228855133101</v>
      </c>
      <c r="BH105" s="2">
        <v>-1.1951984167098999</v>
      </c>
      <c r="BI105" s="2">
        <v>-1.01214683055878</v>
      </c>
      <c r="BJ105" s="2">
        <v>-1.09179079532623</v>
      </c>
      <c r="BK105" s="2">
        <v>-1.06081771850586</v>
      </c>
      <c r="BL105" s="2">
        <v>-0.97382909059524503</v>
      </c>
      <c r="BM105" s="2">
        <v>-1.03054046630859</v>
      </c>
      <c r="BN105" s="2">
        <v>-1.2628647089004501</v>
      </c>
      <c r="BO105" s="2">
        <v>-1.37795209884644</v>
      </c>
      <c r="BP105" s="2">
        <v>-1.3636075258255</v>
      </c>
    </row>
    <row r="106" spans="1:68">
      <c r="A106" s="2" t="s">
        <v>260</v>
      </c>
      <c r="B106" s="2" t="s">
        <v>261</v>
      </c>
      <c r="C106" s="2" t="s">
        <v>837</v>
      </c>
      <c r="D106" s="2" t="s">
        <v>838</v>
      </c>
      <c r="AO106" s="2">
        <v>0.91050064563751198</v>
      </c>
      <c r="AQ106" s="2">
        <v>0.81362700462341297</v>
      </c>
      <c r="AS106" s="2">
        <v>0.83250594139099099</v>
      </c>
      <c r="AU106" s="2">
        <v>0.868621826171875</v>
      </c>
      <c r="AV106" s="2">
        <v>0.80535018444061302</v>
      </c>
      <c r="AW106" s="2">
        <v>0.84613484144210804</v>
      </c>
      <c r="AX106" s="2">
        <v>0.83880919218063399</v>
      </c>
      <c r="AY106" s="2">
        <v>0.97661709785461404</v>
      </c>
      <c r="AZ106" s="2">
        <v>0.94144928455352805</v>
      </c>
      <c r="BA106" s="2">
        <v>0.91338652372360196</v>
      </c>
      <c r="BB106" s="2">
        <v>0.77115595340728804</v>
      </c>
      <c r="BC106" s="2">
        <v>0.77266937494277999</v>
      </c>
      <c r="BD106" s="2">
        <v>0.75660258531570401</v>
      </c>
      <c r="BE106" s="2">
        <v>0.61110287904739402</v>
      </c>
      <c r="BF106" s="2">
        <v>0.58302003145217896</v>
      </c>
      <c r="BG106" s="2">
        <v>0.50920277833938599</v>
      </c>
      <c r="BH106" s="2">
        <v>0.382024466991425</v>
      </c>
      <c r="BI106" s="2">
        <v>0.41362625360488903</v>
      </c>
      <c r="BJ106" s="2">
        <v>0.53743231296539296</v>
      </c>
      <c r="BK106" s="2">
        <v>0.55506968498230003</v>
      </c>
      <c r="BL106" s="2">
        <v>0.49868422746658297</v>
      </c>
      <c r="BM106" s="2">
        <v>0.492385804653168</v>
      </c>
      <c r="BN106" s="2">
        <v>0.50537341833114602</v>
      </c>
      <c r="BO106" s="2">
        <v>0.42206713557243303</v>
      </c>
      <c r="BP106" s="2">
        <v>0.42708453536033603</v>
      </c>
    </row>
    <row r="107" spans="1:68">
      <c r="A107" s="2" t="s">
        <v>262</v>
      </c>
      <c r="B107" s="2" t="s">
        <v>263</v>
      </c>
      <c r="C107" s="2" t="s">
        <v>837</v>
      </c>
      <c r="D107" s="2" t="s">
        <v>838</v>
      </c>
    </row>
    <row r="108" spans="1:68">
      <c r="A108" s="2" t="s">
        <v>264</v>
      </c>
      <c r="B108" s="2" t="s">
        <v>265</v>
      </c>
      <c r="C108" s="2" t="s">
        <v>837</v>
      </c>
      <c r="D108" s="2" t="s">
        <v>838</v>
      </c>
    </row>
    <row r="109" spans="1:68">
      <c r="A109" s="2" t="s">
        <v>266</v>
      </c>
      <c r="B109" s="2" t="s">
        <v>267</v>
      </c>
      <c r="C109" s="2" t="s">
        <v>837</v>
      </c>
      <c r="D109" s="2" t="s">
        <v>838</v>
      </c>
    </row>
    <row r="110" spans="1:68">
      <c r="A110" s="2" t="s">
        <v>268</v>
      </c>
      <c r="B110" s="2" t="s">
        <v>269</v>
      </c>
      <c r="C110" s="2" t="s">
        <v>837</v>
      </c>
      <c r="D110" s="2" t="s">
        <v>838</v>
      </c>
    </row>
    <row r="111" spans="1:68">
      <c r="A111" s="2" t="s">
        <v>270</v>
      </c>
      <c r="B111" s="2" t="s">
        <v>271</v>
      </c>
      <c r="C111" s="2" t="s">
        <v>837</v>
      </c>
      <c r="D111" s="2" t="s">
        <v>838</v>
      </c>
      <c r="AO111" s="2">
        <v>-0.48987030982971203</v>
      </c>
      <c r="AQ111" s="2">
        <v>-0.750535488128662</v>
      </c>
      <c r="AS111" s="2">
        <v>-0.696610867977142</v>
      </c>
      <c r="AU111" s="2">
        <v>-0.91026473045349099</v>
      </c>
      <c r="AV111" s="2">
        <v>-0.85910069942474399</v>
      </c>
      <c r="AW111" s="2">
        <v>-0.73288017511367798</v>
      </c>
      <c r="AX111" s="2">
        <v>-0.79787218570709195</v>
      </c>
      <c r="AY111" s="2">
        <v>-0.69445085525512695</v>
      </c>
      <c r="AZ111" s="2">
        <v>-0.69898992776870705</v>
      </c>
      <c r="BA111" s="2">
        <v>-0.67378258705139205</v>
      </c>
      <c r="BB111" s="2">
        <v>-0.61193531751632702</v>
      </c>
      <c r="BC111" s="2">
        <v>-0.65604490041732799</v>
      </c>
      <c r="BD111" s="2">
        <v>-0.59964394569396995</v>
      </c>
      <c r="BE111" s="2">
        <v>-0.58356904983520497</v>
      </c>
      <c r="BF111" s="2">
        <v>-0.533516585826874</v>
      </c>
      <c r="BG111" s="2">
        <v>-0.31091845035553001</v>
      </c>
      <c r="BH111" s="2">
        <v>-0.424549460411072</v>
      </c>
      <c r="BI111" s="2">
        <v>-0.33899450302124001</v>
      </c>
      <c r="BJ111" s="2">
        <v>-0.351397454738617</v>
      </c>
      <c r="BK111" s="2">
        <v>-0.31440138816833502</v>
      </c>
      <c r="BL111" s="2">
        <v>-0.34765389561653098</v>
      </c>
      <c r="BM111" s="2">
        <v>-0.36560273170471203</v>
      </c>
      <c r="BN111" s="2">
        <v>-0.253444284200668</v>
      </c>
      <c r="BO111" s="2">
        <v>-0.18813031911850001</v>
      </c>
      <c r="BP111" s="2">
        <v>-0.15360446274280501</v>
      </c>
    </row>
    <row r="112" spans="1:68">
      <c r="A112" s="2" t="s">
        <v>272</v>
      </c>
      <c r="B112" s="2" t="s">
        <v>273</v>
      </c>
      <c r="C112" s="2" t="s">
        <v>837</v>
      </c>
      <c r="D112" s="2" t="s">
        <v>838</v>
      </c>
    </row>
    <row r="113" spans="1:68">
      <c r="A113" s="2" t="s">
        <v>274</v>
      </c>
      <c r="B113" s="2" t="s">
        <v>275</v>
      </c>
      <c r="C113" s="2" t="s">
        <v>837</v>
      </c>
      <c r="D113" s="2" t="s">
        <v>838</v>
      </c>
    </row>
    <row r="114" spans="1:68">
      <c r="A114" s="2" t="s">
        <v>32</v>
      </c>
      <c r="B114" s="2" t="s">
        <v>276</v>
      </c>
      <c r="C114" s="2" t="s">
        <v>837</v>
      </c>
      <c r="D114" s="2" t="s">
        <v>838</v>
      </c>
      <c r="AO114" s="2">
        <v>0.31345620751380898</v>
      </c>
      <c r="AQ114" s="2">
        <v>0.33501431345939597</v>
      </c>
      <c r="AS114" s="2">
        <v>0.34807959198951699</v>
      </c>
      <c r="AU114" s="2">
        <v>-1.7395870760083199E-2</v>
      </c>
      <c r="AV114" s="2">
        <v>0.120161645114422</v>
      </c>
      <c r="AW114" s="2">
        <v>5.33560588955879E-2</v>
      </c>
      <c r="AX114" s="2">
        <v>0.13313016295433</v>
      </c>
      <c r="AY114" s="2">
        <v>0.17898961901664701</v>
      </c>
      <c r="AZ114" s="2">
        <v>9.6898160874843597E-2</v>
      </c>
      <c r="BA114" s="2">
        <v>9.5850460231304196E-2</v>
      </c>
      <c r="BB114" s="2">
        <v>1.79808251559734E-2</v>
      </c>
      <c r="BC114" s="2">
        <v>-3.5810820758342701E-2</v>
      </c>
      <c r="BD114" s="2">
        <v>-8.6297139525413499E-2</v>
      </c>
      <c r="BE114" s="2">
        <v>-6.2880747020244598E-2</v>
      </c>
      <c r="BF114" s="2">
        <v>-4.5892599970102303E-2</v>
      </c>
      <c r="BG114" s="2">
        <v>-6.9189384579658494E-2</v>
      </c>
      <c r="BH114" s="2">
        <v>-7.0721104741096497E-2</v>
      </c>
      <c r="BI114" s="2">
        <v>-5.6153856217861203E-2</v>
      </c>
      <c r="BJ114" s="2">
        <v>-2.9750088229775401E-2</v>
      </c>
      <c r="BK114" s="2">
        <v>-1.42208894249052E-3</v>
      </c>
      <c r="BL114" s="2">
        <v>-6.7227154970169095E-2</v>
      </c>
      <c r="BM114" s="2">
        <v>-5.8424744755029699E-2</v>
      </c>
      <c r="BN114" s="2">
        <v>-0.108451806008816</v>
      </c>
      <c r="BO114" s="2">
        <v>0.11394341289997099</v>
      </c>
      <c r="BP114" s="2">
        <v>0.18836456537246701</v>
      </c>
    </row>
    <row r="115" spans="1:68">
      <c r="A115" s="2" t="s">
        <v>277</v>
      </c>
      <c r="B115" s="2" t="s">
        <v>278</v>
      </c>
      <c r="C115" s="2" t="s">
        <v>837</v>
      </c>
      <c r="D115" s="2" t="s">
        <v>838</v>
      </c>
    </row>
    <row r="116" spans="1:68">
      <c r="A116" s="2" t="s">
        <v>279</v>
      </c>
      <c r="B116" s="2" t="s">
        <v>280</v>
      </c>
      <c r="C116" s="2" t="s">
        <v>837</v>
      </c>
      <c r="D116" s="2" t="s">
        <v>838</v>
      </c>
      <c r="AO116" s="2">
        <v>1.5010401010513299</v>
      </c>
      <c r="AQ116" s="2">
        <v>1.5914897918701201</v>
      </c>
      <c r="AS116" s="2">
        <v>1.5396826267242401</v>
      </c>
      <c r="AU116" s="2">
        <v>1.5953254699707</v>
      </c>
      <c r="AV116" s="2">
        <v>1.48246681690216</v>
      </c>
      <c r="AW116" s="2">
        <v>1.5106798410415601</v>
      </c>
      <c r="AX116" s="2">
        <v>1.58428418636322</v>
      </c>
      <c r="AY116" s="2">
        <v>1.7088983058929399</v>
      </c>
      <c r="AZ116" s="2">
        <v>1.72822141647339</v>
      </c>
      <c r="BA116" s="2">
        <v>1.70412838459015</v>
      </c>
      <c r="BB116" s="2">
        <v>1.7430993318557699</v>
      </c>
      <c r="BC116" s="2">
        <v>1.76081323623657</v>
      </c>
      <c r="BD116" s="2">
        <v>1.7464685440063501</v>
      </c>
      <c r="BE116" s="2">
        <v>1.7272036075592001</v>
      </c>
      <c r="BF116" s="2">
        <v>1.7091544866561901</v>
      </c>
      <c r="BG116" s="2">
        <v>1.76058638095856</v>
      </c>
      <c r="BH116" s="2">
        <v>1.72836124897003</v>
      </c>
      <c r="BI116" s="2">
        <v>1.4662122726440401</v>
      </c>
      <c r="BJ116" s="2">
        <v>1.3812212944030799</v>
      </c>
      <c r="BK116" s="2">
        <v>1.41250944137573</v>
      </c>
      <c r="BL116" s="2">
        <v>1.3482816219329801</v>
      </c>
      <c r="BM116" s="2">
        <v>1.4563007354736299</v>
      </c>
      <c r="BN116" s="2">
        <v>1.49300801753998</v>
      </c>
      <c r="BO116" s="2">
        <v>1.52677750587463</v>
      </c>
      <c r="BP116" s="2">
        <v>1.63358354568481</v>
      </c>
    </row>
    <row r="117" spans="1:68">
      <c r="A117" s="2" t="s">
        <v>48</v>
      </c>
      <c r="B117" s="2" t="s">
        <v>281</v>
      </c>
      <c r="C117" s="2" t="s">
        <v>837</v>
      </c>
      <c r="D117" s="2" t="s">
        <v>838</v>
      </c>
      <c r="AO117" s="2">
        <v>-0.94033890962600697</v>
      </c>
      <c r="AQ117" s="2">
        <v>-0.68358683586120605</v>
      </c>
      <c r="AS117" s="2">
        <v>-0.519492506980896</v>
      </c>
      <c r="AU117" s="2">
        <v>-0.82177770137786899</v>
      </c>
      <c r="AV117" s="2">
        <v>-0.68051576614379905</v>
      </c>
      <c r="AW117" s="2">
        <v>-0.67358148097991899</v>
      </c>
      <c r="AX117" s="2">
        <v>-0.86580431461334195</v>
      </c>
      <c r="AY117" s="2">
        <v>-0.99435615539550803</v>
      </c>
      <c r="AZ117" s="2">
        <v>-1.0274518728256199</v>
      </c>
      <c r="BA117" s="2">
        <v>-0.97846394777297996</v>
      </c>
      <c r="BB117" s="2">
        <v>-1.05367839336395</v>
      </c>
      <c r="BC117" s="2">
        <v>-1.0266642570495601</v>
      </c>
      <c r="BD117" s="2">
        <v>-0.96778708696365401</v>
      </c>
      <c r="BE117" s="2">
        <v>-0.91865378618240401</v>
      </c>
      <c r="BF117" s="2">
        <v>-0.99706715345382702</v>
      </c>
      <c r="BG117" s="2">
        <v>-1.05286180973053</v>
      </c>
      <c r="BH117" s="2">
        <v>-0.94035494327545199</v>
      </c>
      <c r="BI117" s="2">
        <v>-0.69597756862640403</v>
      </c>
      <c r="BJ117" s="2">
        <v>-0.70252662897109996</v>
      </c>
      <c r="BK117" s="2">
        <v>-0.71285921335220304</v>
      </c>
      <c r="BL117" s="2">
        <v>-0.771478950977325</v>
      </c>
      <c r="BM117" s="2">
        <v>-0.88682621717453003</v>
      </c>
      <c r="BN117" s="2">
        <v>-0.96648252010345503</v>
      </c>
      <c r="BO117" s="2">
        <v>-1.01758456230164</v>
      </c>
      <c r="BP117" s="2">
        <v>-1.0609549283981301</v>
      </c>
    </row>
    <row r="118" spans="1:68">
      <c r="A118" s="2" t="s">
        <v>282</v>
      </c>
      <c r="B118" s="2" t="s">
        <v>283</v>
      </c>
      <c r="C118" s="2" t="s">
        <v>837</v>
      </c>
      <c r="D118" s="2" t="s">
        <v>838</v>
      </c>
      <c r="AO118" s="2">
        <v>-1.56301152706146</v>
      </c>
      <c r="AQ118" s="2">
        <v>-1.5481832027435301</v>
      </c>
      <c r="AS118" s="2">
        <v>-1.39339351654053</v>
      </c>
      <c r="AU118" s="2">
        <v>-1.51278352737427</v>
      </c>
      <c r="AV118" s="2">
        <v>-1.6446229219436601</v>
      </c>
      <c r="AW118" s="2">
        <v>-1.8242703676223799</v>
      </c>
      <c r="AX118" s="2">
        <v>-1.71689701080322</v>
      </c>
      <c r="AY118" s="2">
        <v>-1.6808266639709499</v>
      </c>
      <c r="AZ118" s="2">
        <v>-1.83802831172943</v>
      </c>
      <c r="BA118" s="2">
        <v>-1.7681742906570399</v>
      </c>
      <c r="BB118" s="2">
        <v>-1.7007153034210201</v>
      </c>
      <c r="BC118" s="2">
        <v>-1.70723676681519</v>
      </c>
      <c r="BD118" s="2">
        <v>-1.55628681182861</v>
      </c>
      <c r="BE118" s="2">
        <v>-1.57004082202911</v>
      </c>
      <c r="BF118" s="2">
        <v>-1.5644323825836199</v>
      </c>
      <c r="BG118" s="2">
        <v>-1.4488427639007599</v>
      </c>
      <c r="BH118" s="2">
        <v>-1.5623594522476201</v>
      </c>
      <c r="BI118" s="2">
        <v>-1.7678853273391699</v>
      </c>
      <c r="BJ118" s="2">
        <v>-1.7553446292877199</v>
      </c>
      <c r="BK118" s="2">
        <v>-1.80134296417236</v>
      </c>
      <c r="BL118" s="2">
        <v>-1.7720354795455899</v>
      </c>
      <c r="BM118" s="2">
        <v>-1.7998642921447801</v>
      </c>
      <c r="BN118" s="2">
        <v>-1.74884688854218</v>
      </c>
      <c r="BO118" s="2">
        <v>-1.7499401569366499</v>
      </c>
      <c r="BP118" s="2">
        <v>-1.6931668519973799</v>
      </c>
    </row>
    <row r="119" spans="1:68">
      <c r="A119" s="2" t="s">
        <v>284</v>
      </c>
      <c r="B119" s="2" t="s">
        <v>285</v>
      </c>
      <c r="C119" s="2" t="s">
        <v>837</v>
      </c>
      <c r="D119" s="2" t="s">
        <v>838</v>
      </c>
      <c r="AO119" s="2">
        <v>1.60150218009949</v>
      </c>
      <c r="AQ119" s="2">
        <v>1.6596605777740501</v>
      </c>
      <c r="AS119" s="2">
        <v>1.7967945337295499</v>
      </c>
      <c r="AU119" s="2">
        <v>1.85915970802307</v>
      </c>
      <c r="AV119" s="2">
        <v>1.9187545776367201</v>
      </c>
      <c r="AW119" s="2">
        <v>1.9061242341995199</v>
      </c>
      <c r="AX119" s="2">
        <v>1.9393240213394201</v>
      </c>
      <c r="AY119" s="2">
        <v>1.8820933103561399</v>
      </c>
      <c r="AZ119" s="2">
        <v>1.8277961015701301</v>
      </c>
      <c r="BA119" s="2">
        <v>1.8531905412673999</v>
      </c>
      <c r="BB119" s="2">
        <v>1.70691537857056</v>
      </c>
      <c r="BC119" s="2">
        <v>1.70661580562592</v>
      </c>
      <c r="BD119" s="2">
        <v>1.6885669231414799</v>
      </c>
      <c r="BE119" s="2">
        <v>1.67797338962555</v>
      </c>
      <c r="BF119" s="2">
        <v>1.6538623571395901</v>
      </c>
      <c r="BG119" s="2">
        <v>1.7044812440872199</v>
      </c>
      <c r="BH119" s="2">
        <v>1.63356757164001</v>
      </c>
      <c r="BI119" s="2">
        <v>1.4831502437591599</v>
      </c>
      <c r="BJ119" s="2">
        <v>1.57102274894714</v>
      </c>
      <c r="BK119" s="2">
        <v>1.6792513132095299</v>
      </c>
      <c r="BL119" s="2">
        <v>1.7263261079788199</v>
      </c>
      <c r="BM119" s="2">
        <v>1.75022161006927</v>
      </c>
      <c r="BN119" s="2">
        <v>1.7126334905624401</v>
      </c>
      <c r="BO119" s="2">
        <v>1.7029050588607799</v>
      </c>
      <c r="BP119" s="2">
        <v>1.7211176156997701</v>
      </c>
    </row>
    <row r="120" spans="1:68">
      <c r="A120" s="2" t="s">
        <v>286</v>
      </c>
      <c r="B120" s="2" t="s">
        <v>287</v>
      </c>
      <c r="C120" s="2" t="s">
        <v>837</v>
      </c>
      <c r="D120" s="2" t="s">
        <v>838</v>
      </c>
      <c r="AO120" s="2">
        <v>1.27892601490021</v>
      </c>
      <c r="AQ120" s="2">
        <v>0.99384975433349598</v>
      </c>
      <c r="AS120" s="2">
        <v>1.0010018348693801</v>
      </c>
      <c r="AU120" s="2">
        <v>1.06982314586639</v>
      </c>
      <c r="AV120" s="2">
        <v>0.91098451614379905</v>
      </c>
      <c r="AW120" s="2">
        <v>0.84827053546905495</v>
      </c>
      <c r="AX120" s="2">
        <v>0.80771595239639304</v>
      </c>
      <c r="AY120" s="2">
        <v>0.89116835594177202</v>
      </c>
      <c r="AZ120" s="2">
        <v>0.81640273332595803</v>
      </c>
      <c r="BA120" s="2">
        <v>0.83756339550018299</v>
      </c>
      <c r="BB120" s="2">
        <v>0.83513396978378296</v>
      </c>
      <c r="BC120" s="2">
        <v>0.90971201658248901</v>
      </c>
      <c r="BD120" s="2">
        <v>1.0053226947784399</v>
      </c>
      <c r="BE120" s="2">
        <v>0.92875570058822599</v>
      </c>
      <c r="BF120" s="2">
        <v>0.97138822078704801</v>
      </c>
      <c r="BG120" s="2">
        <v>1.1051938533782999</v>
      </c>
      <c r="BH120" s="2">
        <v>1.1309784650802599</v>
      </c>
      <c r="BI120" s="2">
        <v>1.0391381978988601</v>
      </c>
      <c r="BJ120" s="2">
        <v>0.98935109376907304</v>
      </c>
      <c r="BK120" s="2">
        <v>0.96016430854797397</v>
      </c>
      <c r="BL120" s="2">
        <v>1.01171886920929</v>
      </c>
      <c r="BM120" s="2">
        <v>0.93562602996826205</v>
      </c>
      <c r="BN120" s="2">
        <v>0.90678936243057295</v>
      </c>
      <c r="BO120" s="2">
        <v>0.94451755285263095</v>
      </c>
      <c r="BP120" s="2">
        <v>0.78384643793106101</v>
      </c>
    </row>
    <row r="121" spans="1:68">
      <c r="A121" s="2" t="s">
        <v>35</v>
      </c>
      <c r="B121" s="2" t="s">
        <v>288</v>
      </c>
      <c r="C121" s="2" t="s">
        <v>837</v>
      </c>
      <c r="D121" s="2" t="s">
        <v>838</v>
      </c>
      <c r="AO121" s="2">
        <v>1.05642402172089</v>
      </c>
      <c r="AQ121" s="2">
        <v>0.80186229944229104</v>
      </c>
      <c r="AS121" s="2">
        <v>0.83810555934905995</v>
      </c>
      <c r="AU121" s="2">
        <v>0.74014198780059803</v>
      </c>
      <c r="AV121" s="2">
        <v>0.68842989206314098</v>
      </c>
      <c r="AW121" s="2">
        <v>0.59000390768051103</v>
      </c>
      <c r="AX121" s="2">
        <v>0.50924301147460904</v>
      </c>
      <c r="AY121" s="2">
        <v>0.37900638580322299</v>
      </c>
      <c r="AZ121" s="2">
        <v>0.46754819154739402</v>
      </c>
      <c r="BA121" s="2">
        <v>0.44792145490646401</v>
      </c>
      <c r="BB121" s="2">
        <v>0.39914548397064198</v>
      </c>
      <c r="BC121" s="2">
        <v>0.45477318763732899</v>
      </c>
      <c r="BD121" s="2">
        <v>0.483442842960358</v>
      </c>
      <c r="BE121" s="2">
        <v>0.42594015598297102</v>
      </c>
      <c r="BF121" s="2">
        <v>0.43625941872596702</v>
      </c>
      <c r="BG121" s="2">
        <v>0.42214724421501199</v>
      </c>
      <c r="BH121" s="2">
        <v>0.28835383057594299</v>
      </c>
      <c r="BI121" s="2">
        <v>0.36641502380371099</v>
      </c>
      <c r="BJ121" s="2">
        <v>0.31913381814956698</v>
      </c>
      <c r="BK121" s="2">
        <v>0.24062387645244601</v>
      </c>
      <c r="BL121" s="2">
        <v>0.27241715788841198</v>
      </c>
      <c r="BM121" s="2">
        <v>0.20668266713619199</v>
      </c>
      <c r="BN121" s="2">
        <v>0.240348026156425</v>
      </c>
      <c r="BO121" s="2">
        <v>0.29697403311729398</v>
      </c>
      <c r="BP121" s="2">
        <v>0.390358686447144</v>
      </c>
    </row>
    <row r="122" spans="1:68">
      <c r="A122" s="2" t="s">
        <v>289</v>
      </c>
      <c r="B122" s="2" t="s">
        <v>290</v>
      </c>
      <c r="C122" s="2" t="s">
        <v>837</v>
      </c>
      <c r="D122" s="2" t="s">
        <v>838</v>
      </c>
      <c r="AO122" s="2">
        <v>-0.33501714468002303</v>
      </c>
      <c r="AQ122" s="2">
        <v>-0.248288303613663</v>
      </c>
      <c r="AS122" s="2">
        <v>-0.48199912905693099</v>
      </c>
      <c r="AU122" s="2">
        <v>-0.344297826290131</v>
      </c>
      <c r="AV122" s="2">
        <v>-0.50072360038757302</v>
      </c>
      <c r="AW122" s="2">
        <v>-0.41202908754348799</v>
      </c>
      <c r="AX122" s="2">
        <v>-0.41060352325439498</v>
      </c>
      <c r="AY122" s="2">
        <v>-0.39613267779350297</v>
      </c>
      <c r="AZ122" s="2">
        <v>-0.35027331113815302</v>
      </c>
      <c r="BA122" s="2">
        <v>-0.29738742113113398</v>
      </c>
      <c r="BB122" s="2">
        <v>-0.40166619420051602</v>
      </c>
      <c r="BC122" s="2">
        <v>-0.43237179517745999</v>
      </c>
      <c r="BD122" s="2">
        <v>-0.37113514542579701</v>
      </c>
      <c r="BE122" s="2">
        <v>-0.34698748588562001</v>
      </c>
      <c r="BF122" s="2">
        <v>-0.319506496191025</v>
      </c>
      <c r="BG122" s="2">
        <v>-0.237061217427254</v>
      </c>
      <c r="BH122" s="2">
        <v>-0.19149447977542899</v>
      </c>
      <c r="BI122" s="2">
        <v>-0.17310488224029499</v>
      </c>
      <c r="BJ122" s="2">
        <v>-0.134216383099556</v>
      </c>
      <c r="BK122" s="2">
        <v>-0.218186751008034</v>
      </c>
      <c r="BL122" s="2">
        <v>-0.31144770979881298</v>
      </c>
      <c r="BM122" s="2">
        <v>-0.24139446020126301</v>
      </c>
      <c r="BN122" s="2">
        <v>-0.19631037116050701</v>
      </c>
      <c r="BO122" s="2">
        <v>-7.0953443646430997E-2</v>
      </c>
      <c r="BP122" s="2">
        <v>-0.17451657354831701</v>
      </c>
    </row>
    <row r="123" spans="1:68">
      <c r="A123" s="2" t="s">
        <v>291</v>
      </c>
      <c r="B123" s="2" t="s">
        <v>292</v>
      </c>
      <c r="C123" s="2" t="s">
        <v>837</v>
      </c>
      <c r="D123" s="2" t="s">
        <v>838</v>
      </c>
      <c r="AO123" s="2">
        <v>0.27693289518356301</v>
      </c>
      <c r="AQ123" s="2">
        <v>0.30013254284858698</v>
      </c>
      <c r="AS123" s="2">
        <v>0.35836574435234098</v>
      </c>
      <c r="AU123" s="2">
        <v>6.1608891934156397E-2</v>
      </c>
      <c r="AV123" s="2">
        <v>0.32461476325988797</v>
      </c>
      <c r="AW123" s="2">
        <v>0.29746890068054199</v>
      </c>
      <c r="AX123" s="2">
        <v>0.299183219671249</v>
      </c>
      <c r="AY123" s="2">
        <v>0.30370581150054898</v>
      </c>
      <c r="AZ123" s="2">
        <v>0.36315992474556003</v>
      </c>
      <c r="BA123" s="2">
        <v>0.397879958152771</v>
      </c>
      <c r="BB123" s="2">
        <v>0.216567948460579</v>
      </c>
      <c r="BC123" s="2">
        <v>0.14615401625633201</v>
      </c>
      <c r="BD123" s="2">
        <v>0.20058399438857999</v>
      </c>
      <c r="BE123" s="2">
        <v>0.35089975595474199</v>
      </c>
      <c r="BF123" s="2">
        <v>0.37534171342849698</v>
      </c>
      <c r="BG123" s="2">
        <v>0.46703448891639698</v>
      </c>
      <c r="BH123" s="2">
        <v>0.41470438241958602</v>
      </c>
      <c r="BI123" s="2">
        <v>0.245897457003593</v>
      </c>
      <c r="BJ123" s="2">
        <v>0.23592759668827101</v>
      </c>
      <c r="BK123" s="2">
        <v>0.231425076723099</v>
      </c>
      <c r="BL123" s="2">
        <v>0.132250651717186</v>
      </c>
      <c r="BM123" s="2">
        <v>0.18662451207637801</v>
      </c>
      <c r="BN123" s="2">
        <v>0.182595565915108</v>
      </c>
      <c r="BO123" s="2">
        <v>0.217392534017563</v>
      </c>
      <c r="BP123" s="2">
        <v>0.257768124341965</v>
      </c>
    </row>
    <row r="124" spans="1:68">
      <c r="A124" s="2" t="s">
        <v>293</v>
      </c>
      <c r="B124" s="2" t="s">
        <v>294</v>
      </c>
      <c r="C124" s="2" t="s">
        <v>837</v>
      </c>
      <c r="D124" s="2" t="s">
        <v>838</v>
      </c>
      <c r="AO124" s="2">
        <v>1.34782886505127</v>
      </c>
      <c r="AQ124" s="2">
        <v>1.3485251665115401</v>
      </c>
      <c r="AS124" s="2">
        <v>1.2897591590881301</v>
      </c>
      <c r="AU124" s="2">
        <v>1.1485517024993901</v>
      </c>
      <c r="AV124" s="2">
        <v>1.16399013996124</v>
      </c>
      <c r="AW124" s="2">
        <v>1.24947249889374</v>
      </c>
      <c r="AX124" s="2">
        <v>1.2243965864181501</v>
      </c>
      <c r="AY124" s="2">
        <v>1.3515256643295299</v>
      </c>
      <c r="AZ124" s="2">
        <v>1.31983089447021</v>
      </c>
      <c r="BA124" s="2">
        <v>1.3086692094802901</v>
      </c>
      <c r="BB124" s="2">
        <v>1.2870830297470099</v>
      </c>
      <c r="BC124" s="2">
        <v>1.31965863704681</v>
      </c>
      <c r="BD124" s="2">
        <v>1.30369925498962</v>
      </c>
      <c r="BE124" s="2">
        <v>1.3513658046722401</v>
      </c>
      <c r="BF124" s="2">
        <v>1.43588483333588</v>
      </c>
      <c r="BG124" s="2">
        <v>1.59787368774414</v>
      </c>
      <c r="BH124" s="2">
        <v>1.48507380485535</v>
      </c>
      <c r="BI124" s="2">
        <v>1.3837323188781701</v>
      </c>
      <c r="BJ124" s="2">
        <v>1.5294550657272299</v>
      </c>
      <c r="BK124" s="2">
        <v>1.4938536882400499</v>
      </c>
      <c r="BL124" s="2">
        <v>1.4964345693588299</v>
      </c>
      <c r="BM124" s="2">
        <v>1.47148048877716</v>
      </c>
      <c r="BN124" s="2">
        <v>1.54032814502716</v>
      </c>
      <c r="BO124" s="2">
        <v>1.5579692125320399</v>
      </c>
      <c r="BP124" s="2">
        <v>1.53553938865662</v>
      </c>
    </row>
    <row r="125" spans="1:68">
      <c r="A125" s="2" t="s">
        <v>37</v>
      </c>
      <c r="B125" s="2" t="s">
        <v>295</v>
      </c>
      <c r="C125" s="2" t="s">
        <v>837</v>
      </c>
      <c r="D125" s="2" t="s">
        <v>838</v>
      </c>
      <c r="AO125" s="2">
        <v>-1.1865377426147501</v>
      </c>
      <c r="AQ125" s="2">
        <v>-1.1133459806442301</v>
      </c>
      <c r="AS125" s="2">
        <v>-1.1509146690368699</v>
      </c>
      <c r="AU125" s="2">
        <v>-1.20242607593536</v>
      </c>
      <c r="AV125" s="2">
        <v>-1.09689700603485</v>
      </c>
      <c r="AW125" s="2">
        <v>-1.1264673471450799</v>
      </c>
      <c r="AX125" s="2">
        <v>-0.95323616266250599</v>
      </c>
      <c r="AY125" s="2">
        <v>-1.1021193265914899</v>
      </c>
      <c r="AZ125" s="2">
        <v>-1.0319029092788701</v>
      </c>
      <c r="BA125" s="2">
        <v>-0.926385998725891</v>
      </c>
      <c r="BB125" s="2">
        <v>-0.72344106435775801</v>
      </c>
      <c r="BC125" s="2">
        <v>-0.69563972949981701</v>
      </c>
      <c r="BD125" s="2">
        <v>-0.64163380861282304</v>
      </c>
      <c r="BE125" s="2">
        <v>-0.77289903163909901</v>
      </c>
      <c r="BF125" s="2">
        <v>-0.71640980243682895</v>
      </c>
      <c r="BG125" s="2">
        <v>-0.60948699712753296</v>
      </c>
      <c r="BH125" s="2">
        <v>-0.51527321338653598</v>
      </c>
      <c r="BI125" s="2">
        <v>-0.51314949989318803</v>
      </c>
      <c r="BJ125" s="2">
        <v>-0.48727560043335</v>
      </c>
      <c r="BK125" s="2">
        <v>-0.50346642732620195</v>
      </c>
      <c r="BL125" s="2">
        <v>-0.51001703739166304</v>
      </c>
      <c r="BM125" s="2">
        <v>-0.46708986163139299</v>
      </c>
      <c r="BN125" s="2">
        <v>-0.50897008180618297</v>
      </c>
      <c r="BO125" s="2">
        <v>-0.47467008233070401</v>
      </c>
      <c r="BP125" s="2">
        <v>-0.44678136706352201</v>
      </c>
    </row>
    <row r="126" spans="1:68">
      <c r="A126" s="2" t="s">
        <v>296</v>
      </c>
      <c r="B126" s="2" t="s">
        <v>297</v>
      </c>
      <c r="C126" s="2" t="s">
        <v>837</v>
      </c>
      <c r="D126" s="2" t="s">
        <v>838</v>
      </c>
      <c r="AO126" s="2">
        <v>-1.0215806961059599</v>
      </c>
      <c r="AQ126" s="2">
        <v>-1.0281069278717001</v>
      </c>
      <c r="AS126" s="2">
        <v>-0.92185878753662098</v>
      </c>
      <c r="AU126" s="2">
        <v>-0.96685355901718095</v>
      </c>
      <c r="AV126" s="2">
        <v>-0.92337852716445901</v>
      </c>
      <c r="AW126" s="2">
        <v>-0.86422991752624501</v>
      </c>
      <c r="AX126" s="2">
        <v>-0.88088101148605302</v>
      </c>
      <c r="AY126" s="2">
        <v>-0.88236463069915805</v>
      </c>
      <c r="AZ126" s="2">
        <v>-0.97130459547042802</v>
      </c>
      <c r="BA126" s="2">
        <v>-0.99999630451202404</v>
      </c>
      <c r="BB126" s="2">
        <v>-1.0226454734802199</v>
      </c>
      <c r="BC126" s="2">
        <v>-0.95396196842193604</v>
      </c>
      <c r="BD126" s="2">
        <v>-0.91299664974212602</v>
      </c>
      <c r="BE126" s="2">
        <v>-0.83143293857574496</v>
      </c>
      <c r="BF126" s="2">
        <v>-0.715259850025177</v>
      </c>
      <c r="BG126" s="2">
        <v>-0.41203743219375599</v>
      </c>
      <c r="BH126" s="2">
        <v>-0.507376968860626</v>
      </c>
      <c r="BI126" s="2">
        <v>-0.45708060264587402</v>
      </c>
      <c r="BJ126" s="2">
        <v>-0.431836128234863</v>
      </c>
      <c r="BK126" s="2">
        <v>-0.42828243970870999</v>
      </c>
      <c r="BL126" s="2">
        <v>-0.46481236815452598</v>
      </c>
      <c r="BM126" s="2">
        <v>-0.579112708568573</v>
      </c>
      <c r="BN126" s="2">
        <v>-0.42144787311553999</v>
      </c>
      <c r="BO126" s="2">
        <v>-0.31798943877220198</v>
      </c>
      <c r="BP126" s="2">
        <v>-0.32622164487838701</v>
      </c>
    </row>
    <row r="127" spans="1:68">
      <c r="A127" s="2" t="s">
        <v>49</v>
      </c>
      <c r="B127" s="2" t="s">
        <v>298</v>
      </c>
      <c r="C127" s="2" t="s">
        <v>837</v>
      </c>
      <c r="D127" s="2" t="s">
        <v>838</v>
      </c>
      <c r="AO127" s="2">
        <v>-0.72547328472137496</v>
      </c>
      <c r="AQ127" s="2">
        <v>-0.79578822851180997</v>
      </c>
      <c r="AS127" s="2">
        <v>-0.90672069787979104</v>
      </c>
      <c r="AU127" s="2">
        <v>-0.85391426086425803</v>
      </c>
      <c r="AV127" s="2">
        <v>-0.76016002893447898</v>
      </c>
      <c r="AW127" s="2">
        <v>-0.79316699504852295</v>
      </c>
      <c r="AX127" s="2">
        <v>-1.1232408285141</v>
      </c>
      <c r="AY127" s="2">
        <v>-1.31729280948639</v>
      </c>
      <c r="AZ127" s="2">
        <v>-1.3219470977783201</v>
      </c>
      <c r="BA127" s="2">
        <v>-1.3829139471054099</v>
      </c>
      <c r="BB127" s="2">
        <v>-1.3297537565231301</v>
      </c>
      <c r="BC127" s="2">
        <v>-1.2694574594497701</v>
      </c>
      <c r="BD127" s="2">
        <v>-1.19611263275146</v>
      </c>
      <c r="BE127" s="2">
        <v>-1.1348477602005</v>
      </c>
      <c r="BF127" s="2">
        <v>-1.1153327226638801</v>
      </c>
      <c r="BG127" s="2">
        <v>-0.93623667955398604</v>
      </c>
      <c r="BH127" s="2">
        <v>-1.0145168304443399</v>
      </c>
      <c r="BI127" s="2">
        <v>-1.04514920711517</v>
      </c>
      <c r="BJ127" s="2">
        <v>-0.94707208871841397</v>
      </c>
      <c r="BK127" s="2">
        <v>-0.92870146036148105</v>
      </c>
      <c r="BL127" s="2">
        <v>-0.91463732719421398</v>
      </c>
      <c r="BM127" s="2">
        <v>-0.96220427751541104</v>
      </c>
      <c r="BN127" s="2">
        <v>-1.09876596927643</v>
      </c>
      <c r="BO127" s="2">
        <v>-1.1477091312408401</v>
      </c>
      <c r="BP127" s="2">
        <v>-1.1741224527359</v>
      </c>
    </row>
    <row r="128" spans="1:68">
      <c r="A128" s="2" t="s">
        <v>299</v>
      </c>
      <c r="B128" s="2" t="s">
        <v>300</v>
      </c>
      <c r="C128" s="2" t="s">
        <v>837</v>
      </c>
      <c r="D128" s="2" t="s">
        <v>838</v>
      </c>
      <c r="AO128" s="2">
        <v>-1.19436883926392</v>
      </c>
      <c r="AQ128" s="2">
        <v>-1.1786351203918499</v>
      </c>
      <c r="AS128" s="2">
        <v>-1.0839549303054801</v>
      </c>
      <c r="AU128" s="2">
        <v>-1.1628617048263501</v>
      </c>
      <c r="AV128" s="2">
        <v>-1.1551083326339699</v>
      </c>
      <c r="AW128" s="2">
        <v>-1.21447193622589</v>
      </c>
      <c r="AX128" s="2">
        <v>-1.24178218841553</v>
      </c>
      <c r="AY128" s="2">
        <v>-1.23822462558746</v>
      </c>
      <c r="AZ128" s="2">
        <v>-1.14518678188324</v>
      </c>
      <c r="BA128" s="2">
        <v>-1.1556795835495</v>
      </c>
      <c r="BB128" s="2">
        <v>-1.12396168708801</v>
      </c>
      <c r="BC128" s="2">
        <v>-1.12309193611145</v>
      </c>
      <c r="BD128" s="2">
        <v>-1.05048811435699</v>
      </c>
      <c r="BE128" s="2">
        <v>-0.98134618997573897</v>
      </c>
      <c r="BF128" s="2">
        <v>-1.0077155828476001</v>
      </c>
      <c r="BG128" s="2">
        <v>-0.95423257350921598</v>
      </c>
      <c r="BH128" s="2">
        <v>-0.99688631296157804</v>
      </c>
      <c r="BI128" s="2">
        <v>-1.08159899711609</v>
      </c>
      <c r="BJ128" s="2">
        <v>-1.07415091991425</v>
      </c>
      <c r="BK128" s="2">
        <v>-1.1350082159042401</v>
      </c>
      <c r="BL128" s="2">
        <v>-0.95492774248123202</v>
      </c>
      <c r="BM128" s="2">
        <v>-0.96412593126296997</v>
      </c>
      <c r="BN128" s="2">
        <v>-0.91917794942855802</v>
      </c>
      <c r="BO128" s="2">
        <v>-0.865880906581879</v>
      </c>
      <c r="BP128" s="2">
        <v>-0.81912744045257602</v>
      </c>
    </row>
    <row r="129" spans="1:68">
      <c r="A129" s="2" t="s">
        <v>301</v>
      </c>
      <c r="B129" s="2" t="s">
        <v>302</v>
      </c>
      <c r="C129" s="2" t="s">
        <v>837</v>
      </c>
      <c r="D129" s="2" t="s">
        <v>838</v>
      </c>
      <c r="AO129" s="2">
        <v>0.80914056301116899</v>
      </c>
      <c r="AQ129" s="2">
        <v>0.87650817632675204</v>
      </c>
      <c r="AS129" s="2">
        <v>0.83971226215362504</v>
      </c>
      <c r="AU129" s="2">
        <v>0.83394581079482999</v>
      </c>
      <c r="AV129" s="2">
        <v>0.83328413963317904</v>
      </c>
      <c r="AW129" s="2">
        <v>0.60402542352676403</v>
      </c>
      <c r="AX129" s="2">
        <v>0.75054836273193404</v>
      </c>
      <c r="AY129" s="2">
        <v>0.88501453399658203</v>
      </c>
      <c r="AZ129" s="2">
        <v>0.81002312898635898</v>
      </c>
      <c r="BA129" s="2">
        <v>0.39989042282104498</v>
      </c>
      <c r="BB129" s="2">
        <v>0.142270758748055</v>
      </c>
      <c r="BC129" s="2">
        <v>6.1862401664257001E-2</v>
      </c>
      <c r="BD129" s="2">
        <v>0.121154494583607</v>
      </c>
      <c r="BE129" s="2">
        <v>0.18290342390537301</v>
      </c>
      <c r="BF129" s="2">
        <v>0.22983440756797799</v>
      </c>
      <c r="BG129" s="2">
        <v>-0.104548409581184</v>
      </c>
      <c r="BH129" s="2">
        <v>-0.15380419790744801</v>
      </c>
      <c r="BI129" s="2">
        <v>0.30045053362846402</v>
      </c>
      <c r="BJ129" s="2">
        <v>0.58563017845153797</v>
      </c>
      <c r="BK129" s="2">
        <v>0.57645732164382901</v>
      </c>
      <c r="BL129" s="2">
        <v>0.817316353321075</v>
      </c>
      <c r="BM129" s="2">
        <v>1.01136934757233</v>
      </c>
      <c r="BN129" s="2">
        <v>0.88618230819702104</v>
      </c>
      <c r="BO129" s="2">
        <v>0.62591159343719505</v>
      </c>
      <c r="BP129" s="2">
        <v>0.58793681859970104</v>
      </c>
    </row>
    <row r="130" spans="1:68">
      <c r="A130" s="2" t="s">
        <v>303</v>
      </c>
      <c r="B130" s="2" t="s">
        <v>304</v>
      </c>
      <c r="C130" s="2" t="s">
        <v>837</v>
      </c>
      <c r="D130" s="2" t="s">
        <v>838</v>
      </c>
      <c r="AO130" s="2">
        <v>0.80914056301116899</v>
      </c>
      <c r="AQ130" s="2">
        <v>0.87650817632675204</v>
      </c>
      <c r="AS130" s="2">
        <v>0.83971226215362504</v>
      </c>
      <c r="AU130" s="2">
        <v>0.83394581079482999</v>
      </c>
      <c r="AV130" s="2">
        <v>0.83328413963317904</v>
      </c>
      <c r="AW130" s="2">
        <v>0.86656582355499301</v>
      </c>
      <c r="AX130" s="2">
        <v>0.87109452486038197</v>
      </c>
      <c r="AY130" s="2">
        <v>0.921211838722229</v>
      </c>
      <c r="AZ130" s="2">
        <v>0.89350318908691395</v>
      </c>
      <c r="BA130" s="2">
        <v>0.95227187871932995</v>
      </c>
      <c r="BB130" s="2">
        <v>0.99384593963623002</v>
      </c>
      <c r="BC130" s="2">
        <v>0.97654634714126598</v>
      </c>
      <c r="BD130" s="2">
        <v>0.97953081130981401</v>
      </c>
      <c r="BE130" s="2">
        <v>0.97267651557922397</v>
      </c>
      <c r="BF130" s="2">
        <v>0.972781121730804</v>
      </c>
      <c r="BG130" s="2">
        <v>-0.67431694269180298</v>
      </c>
      <c r="BH130" s="2">
        <v>0.48606795072555498</v>
      </c>
      <c r="BI130" s="2">
        <v>0.460554569959641</v>
      </c>
      <c r="BJ130" s="2">
        <v>0.49603784084320102</v>
      </c>
      <c r="BK130" s="2">
        <v>0.51926243305206299</v>
      </c>
      <c r="BL130" s="2">
        <v>0.436488747596741</v>
      </c>
      <c r="BM130" s="2">
        <v>0.48242500424385099</v>
      </c>
      <c r="BN130" s="2">
        <v>0.45481854677200301</v>
      </c>
      <c r="BO130" s="2">
        <v>0.50173413753509499</v>
      </c>
      <c r="BP130" s="2">
        <v>0.479547560214996</v>
      </c>
    </row>
    <row r="131" spans="1:68">
      <c r="A131" s="2" t="s">
        <v>305</v>
      </c>
      <c r="B131" s="2" t="s">
        <v>306</v>
      </c>
      <c r="C131" s="2" t="s">
        <v>837</v>
      </c>
      <c r="D131" s="2" t="s">
        <v>838</v>
      </c>
      <c r="AO131" s="2">
        <v>0.79874736070632901</v>
      </c>
      <c r="AQ131" s="2">
        <v>0.77870053052902199</v>
      </c>
      <c r="AS131" s="2">
        <v>0.83033972978591897</v>
      </c>
      <c r="AU131" s="2">
        <v>0.92000997066497803</v>
      </c>
      <c r="AV131" s="2">
        <v>0.80029881000518799</v>
      </c>
      <c r="AW131" s="2">
        <v>0.909604072570801</v>
      </c>
      <c r="AX131" s="2">
        <v>0.97422289848327603</v>
      </c>
      <c r="AY131" s="2">
        <v>0.837951719760895</v>
      </c>
      <c r="AZ131" s="2">
        <v>1.0105497837066699</v>
      </c>
      <c r="BA131" s="2">
        <v>0.86050456762313798</v>
      </c>
      <c r="BB131" s="2">
        <v>0.99423885345458995</v>
      </c>
      <c r="BC131" s="2">
        <v>1.00820755958557</v>
      </c>
      <c r="BD131" s="2">
        <v>1.02559030056</v>
      </c>
      <c r="BE131" s="2">
        <v>0.984835565090179</v>
      </c>
      <c r="BF131" s="2">
        <v>0.94514101743698098</v>
      </c>
      <c r="BG131" s="2">
        <v>1.0059633255004901</v>
      </c>
      <c r="BH131" s="2">
        <v>0.90273952484130904</v>
      </c>
      <c r="BI131" s="2">
        <v>1.1269690990448</v>
      </c>
      <c r="BJ131" s="2">
        <v>1.1309677362442001</v>
      </c>
      <c r="BK131" s="2">
        <v>1.1995415687561</v>
      </c>
      <c r="BL131" s="2">
        <v>1.15620601177216</v>
      </c>
      <c r="BM131" s="2">
        <v>1.14742302894592</v>
      </c>
      <c r="BN131" s="2">
        <v>1.09546947479248</v>
      </c>
      <c r="BO131" s="2">
        <v>1.1581643819809</v>
      </c>
      <c r="BP131" s="2">
        <v>1.24850225448608</v>
      </c>
    </row>
    <row r="132" spans="1:68">
      <c r="A132" s="2" t="s">
        <v>307</v>
      </c>
      <c r="B132" s="2" t="s">
        <v>308</v>
      </c>
      <c r="C132" s="2" t="s">
        <v>837</v>
      </c>
      <c r="D132" s="2" t="s">
        <v>838</v>
      </c>
      <c r="AO132" s="2">
        <v>0.59882897138595603</v>
      </c>
      <c r="AQ132" s="2">
        <v>0.60835367441177401</v>
      </c>
      <c r="AS132" s="2">
        <v>0.55249094963073697</v>
      </c>
      <c r="AU132" s="2">
        <v>0.59144198894500699</v>
      </c>
      <c r="AV132" s="2">
        <v>0.54837399721145597</v>
      </c>
      <c r="AW132" s="2">
        <v>0.50747549533844005</v>
      </c>
      <c r="AX132" s="2">
        <v>0.52774190902710005</v>
      </c>
      <c r="AY132" s="2">
        <v>0.52934849262237504</v>
      </c>
      <c r="AZ132" s="2">
        <v>0.59308254718780495</v>
      </c>
      <c r="BA132" s="2">
        <v>0.58051306009292603</v>
      </c>
      <c r="BB132" s="2">
        <v>0.58042055368423495</v>
      </c>
      <c r="BC132" s="2">
        <v>0.58577358722686801</v>
      </c>
      <c r="BD132" s="2">
        <v>0.54290020465850797</v>
      </c>
      <c r="BE132" s="2">
        <v>0.36274510622024497</v>
      </c>
      <c r="BF132" s="2">
        <v>0.36085838079452498</v>
      </c>
      <c r="BG132" s="2">
        <v>2.3111432790756201E-2</v>
      </c>
      <c r="BH132" s="2">
        <v>-2.0002828910946801E-2</v>
      </c>
      <c r="BI132" s="2">
        <v>8.2841878756880795E-3</v>
      </c>
      <c r="BJ132" s="2">
        <v>8.0755129456520094E-2</v>
      </c>
      <c r="BK132" s="2">
        <v>0.186258539557457</v>
      </c>
      <c r="BL132" s="2">
        <v>0.193061023950577</v>
      </c>
      <c r="BM132" s="2">
        <v>0.31002780795097401</v>
      </c>
      <c r="BN132" s="2">
        <v>0.239145532250404</v>
      </c>
      <c r="BO132" s="2">
        <v>0.27863708138465898</v>
      </c>
      <c r="BP132" s="2">
        <v>0.34166848659515398</v>
      </c>
    </row>
    <row r="133" spans="1:68">
      <c r="A133" s="2" t="s">
        <v>309</v>
      </c>
      <c r="B133" s="2" t="s">
        <v>310</v>
      </c>
      <c r="C133" s="2" t="s">
        <v>837</v>
      </c>
      <c r="D133" s="2" t="s">
        <v>838</v>
      </c>
    </row>
    <row r="134" spans="1:68">
      <c r="A134" s="2" t="s">
        <v>311</v>
      </c>
      <c r="B134" s="2" t="s">
        <v>312</v>
      </c>
      <c r="C134" s="2" t="s">
        <v>837</v>
      </c>
      <c r="D134" s="2" t="s">
        <v>838</v>
      </c>
      <c r="AO134" s="2">
        <v>-1.0479496717453001</v>
      </c>
      <c r="AQ134" s="2">
        <v>-0.99284136295318604</v>
      </c>
      <c r="AS134" s="2">
        <v>-1.0572007894516</v>
      </c>
      <c r="AU134" s="2">
        <v>-1.25275146961212</v>
      </c>
      <c r="AV134" s="2">
        <v>-1.38021075725555</v>
      </c>
      <c r="AW134" s="2">
        <v>-1.2596579790115401</v>
      </c>
      <c r="AX134" s="2">
        <v>-1.1734801530837999</v>
      </c>
      <c r="AY134" s="2">
        <v>-1.0148283243179299</v>
      </c>
      <c r="AZ134" s="2">
        <v>-0.95650333166122403</v>
      </c>
      <c r="BA134" s="2">
        <v>-0.87418031692504905</v>
      </c>
      <c r="BB134" s="2">
        <v>-1.04979801177979</v>
      </c>
      <c r="BC134" s="2">
        <v>-0.974354088306427</v>
      </c>
      <c r="BD134" s="2">
        <v>-1.00235879421234</v>
      </c>
      <c r="BE134" s="2">
        <v>-0.85683524608612105</v>
      </c>
      <c r="BF134" s="2">
        <v>-0.80355185270309404</v>
      </c>
      <c r="BG134" s="2">
        <v>-0.755931556224823</v>
      </c>
      <c r="BH134" s="2">
        <v>-0.81858938932418801</v>
      </c>
      <c r="BI134" s="2">
        <v>-0.81120848655700695</v>
      </c>
      <c r="BJ134" s="2">
        <v>-0.90196168422698997</v>
      </c>
      <c r="BK134" s="2">
        <v>-0.86312699317932096</v>
      </c>
      <c r="BL134" s="2">
        <v>-0.96878498792648304</v>
      </c>
      <c r="BM134" s="2">
        <v>-0.88288712501525901</v>
      </c>
      <c r="BN134" s="2">
        <v>-0.66391676664352395</v>
      </c>
      <c r="BO134" s="2">
        <v>-0.80442798137664795</v>
      </c>
      <c r="BP134" s="2">
        <v>-0.83290553092956499</v>
      </c>
    </row>
    <row r="135" spans="1:68">
      <c r="A135" s="2" t="s">
        <v>313</v>
      </c>
      <c r="B135" s="2" t="s">
        <v>314</v>
      </c>
      <c r="C135" s="2" t="s">
        <v>837</v>
      </c>
      <c r="D135" s="2" t="s">
        <v>838</v>
      </c>
      <c r="AO135" s="2">
        <v>-0.28295397758483898</v>
      </c>
      <c r="AQ135" s="2">
        <v>-0.41389513015747098</v>
      </c>
      <c r="AS135" s="2">
        <v>-0.165970459580421</v>
      </c>
      <c r="AU135" s="2">
        <v>-0.278718441724777</v>
      </c>
      <c r="AV135" s="2">
        <v>-0.34683173894882202</v>
      </c>
      <c r="AW135" s="2">
        <v>-0.201959788799286</v>
      </c>
      <c r="AX135" s="2">
        <v>-0.23223425447940799</v>
      </c>
      <c r="AY135" s="2">
        <v>-0.60116398334503196</v>
      </c>
      <c r="AZ135" s="2">
        <v>-0.65692877769470204</v>
      </c>
      <c r="BA135" s="2">
        <v>-0.60616916418075595</v>
      </c>
      <c r="BB135" s="2">
        <v>-0.61499673128128096</v>
      </c>
      <c r="BC135" s="2">
        <v>-0.64474922418594405</v>
      </c>
      <c r="BD135" s="2">
        <v>-0.634227335453033</v>
      </c>
      <c r="BE135" s="2">
        <v>-0.70023500919341997</v>
      </c>
      <c r="BF135" s="2">
        <v>-0.73182553052902199</v>
      </c>
      <c r="BG135" s="2">
        <v>-0.72116243839263905</v>
      </c>
      <c r="BH135" s="2">
        <v>-0.80723965167999301</v>
      </c>
      <c r="BI135" s="2">
        <v>-0.81082236766815197</v>
      </c>
      <c r="BJ135" s="2">
        <v>-0.81020307540893599</v>
      </c>
      <c r="BK135" s="2">
        <v>-0.78259128332138095</v>
      </c>
      <c r="BL135" s="2">
        <v>-0.85276347398757901</v>
      </c>
      <c r="BM135" s="2">
        <v>-0.90583854913711503</v>
      </c>
      <c r="BN135" s="2">
        <v>-1.0917930603027299</v>
      </c>
      <c r="BO135" s="2">
        <v>-1.1030634641647299</v>
      </c>
      <c r="BP135" s="2">
        <v>-1.1650751829147299</v>
      </c>
    </row>
    <row r="136" spans="1:68">
      <c r="A136" s="2" t="s">
        <v>315</v>
      </c>
      <c r="B136" s="2" t="s">
        <v>316</v>
      </c>
      <c r="C136" s="2" t="s">
        <v>837</v>
      </c>
      <c r="D136" s="2" t="s">
        <v>838</v>
      </c>
      <c r="AO136" s="2">
        <v>-1.92797827720642</v>
      </c>
      <c r="AQ136" s="2">
        <v>-1.80205094814301</v>
      </c>
      <c r="AS136" s="2">
        <v>-1.88086950778961</v>
      </c>
      <c r="AU136" s="2">
        <v>-1.63125288486481</v>
      </c>
      <c r="AV136" s="2">
        <v>-1.53364610671997</v>
      </c>
      <c r="AW136" s="2">
        <v>-1.5631636381149301</v>
      </c>
      <c r="AX136" s="2">
        <v>-1.3199378252029399</v>
      </c>
      <c r="AY136" s="2">
        <v>-0.88390976190567005</v>
      </c>
      <c r="AZ136" s="2">
        <v>-0.90618228912353505</v>
      </c>
      <c r="BA136" s="2">
        <v>-1.1059716939926101</v>
      </c>
      <c r="BB136" s="2">
        <v>-1.0251601934432999</v>
      </c>
      <c r="BC136" s="2">
        <v>-0.97333937883377097</v>
      </c>
      <c r="BD136" s="2">
        <v>-0.93740850687027</v>
      </c>
      <c r="BE136" s="2">
        <v>-0.88821250200271595</v>
      </c>
      <c r="BF136" s="2">
        <v>-0.882252216339111</v>
      </c>
      <c r="BG136" s="2">
        <v>-0.80382591485977195</v>
      </c>
      <c r="BH136" s="2">
        <v>-0.876839280128479</v>
      </c>
      <c r="BI136" s="2">
        <v>-0.96711981296539296</v>
      </c>
      <c r="BJ136" s="2">
        <v>-0.96925330162048295</v>
      </c>
      <c r="BK136" s="2">
        <v>-1.0016404390335101</v>
      </c>
      <c r="BL136" s="2">
        <v>-1.00460588932037</v>
      </c>
      <c r="BM136" s="2">
        <v>-1.0347945690155</v>
      </c>
      <c r="BN136" s="2">
        <v>-0.94266217947006203</v>
      </c>
      <c r="BO136" s="2">
        <v>-0.91592663526535001</v>
      </c>
      <c r="BP136" s="2">
        <v>-1.0316307544708301</v>
      </c>
    </row>
    <row r="137" spans="1:68">
      <c r="A137" s="2" t="s">
        <v>317</v>
      </c>
      <c r="B137" s="2" t="s">
        <v>318</v>
      </c>
      <c r="C137" s="2" t="s">
        <v>837</v>
      </c>
      <c r="D137" s="2" t="s">
        <v>838</v>
      </c>
      <c r="AO137" s="2">
        <v>-1.18347084522247</v>
      </c>
      <c r="AQ137" s="2">
        <v>-1.1187260150909399</v>
      </c>
      <c r="AS137" s="2">
        <v>-0.99779951572418202</v>
      </c>
      <c r="AU137" s="2">
        <v>-1.1436184644699099</v>
      </c>
      <c r="AV137" s="2">
        <v>-0.90756797790527299</v>
      </c>
      <c r="AW137" s="2">
        <v>-0.91064035892486594</v>
      </c>
      <c r="AX137" s="2">
        <v>-0.98086476325988803</v>
      </c>
      <c r="AY137" s="2">
        <v>-1.0801706314086901</v>
      </c>
      <c r="AZ137" s="2">
        <v>-0.95579552650451705</v>
      </c>
      <c r="BA137" s="2">
        <v>-0.82348036766052202</v>
      </c>
      <c r="BB137" s="2">
        <v>-0.94340956211090099</v>
      </c>
      <c r="BC137" s="2">
        <v>-1.00942170619965</v>
      </c>
      <c r="BD137" s="2">
        <v>-1.07831406593323</v>
      </c>
      <c r="BE137" s="2">
        <v>-0.98096728324890103</v>
      </c>
      <c r="BF137" s="2">
        <v>-1.2611492872238199</v>
      </c>
      <c r="BG137" s="2">
        <v>-1.38994157314301</v>
      </c>
      <c r="BH137" s="2">
        <v>-1.5224972963333101</v>
      </c>
      <c r="BI137" s="2">
        <v>-1.69788837432861</v>
      </c>
      <c r="BJ137" s="2">
        <v>-1.68399310112</v>
      </c>
      <c r="BK137" s="2">
        <v>-1.6911062002182</v>
      </c>
      <c r="BL137" s="2">
        <v>-1.7634960412979099</v>
      </c>
      <c r="BM137" s="2">
        <v>-1.8829640150070199</v>
      </c>
      <c r="BN137" s="2">
        <v>-1.8036794662475599</v>
      </c>
      <c r="BO137" s="2">
        <v>-1.8014229536056501</v>
      </c>
      <c r="BP137" s="2">
        <v>-1.76977610588074</v>
      </c>
    </row>
    <row r="138" spans="1:68">
      <c r="A138" s="2" t="s">
        <v>319</v>
      </c>
      <c r="B138" s="2" t="s">
        <v>320</v>
      </c>
      <c r="C138" s="2" t="s">
        <v>837</v>
      </c>
      <c r="D138" s="2" t="s">
        <v>838</v>
      </c>
      <c r="AO138" s="2">
        <v>0.80914056301116899</v>
      </c>
      <c r="AQ138" s="2">
        <v>0.87650817632675204</v>
      </c>
      <c r="AS138" s="2">
        <v>0.83971226215362504</v>
      </c>
      <c r="AU138" s="2">
        <v>0.83394581079482999</v>
      </c>
      <c r="AV138" s="2">
        <v>0.83328413963317904</v>
      </c>
      <c r="AW138" s="2">
        <v>0.80376410484313998</v>
      </c>
      <c r="AX138" s="2">
        <v>0.82662987709045399</v>
      </c>
      <c r="AY138" s="2">
        <v>0.87394696474075295</v>
      </c>
      <c r="AZ138" s="2">
        <v>0.84882313013076804</v>
      </c>
      <c r="BA138" s="2">
        <v>0.91224974393844604</v>
      </c>
      <c r="BB138" s="2">
        <v>0.89010995626449596</v>
      </c>
      <c r="BC138" s="2">
        <v>0.85293883085250899</v>
      </c>
      <c r="BD138" s="2">
        <v>0.82671397924423196</v>
      </c>
      <c r="BE138" s="2">
        <v>0.72089630365371704</v>
      </c>
      <c r="BF138" s="2">
        <v>0.77112466096878096</v>
      </c>
      <c r="BG138" s="2">
        <v>0.62594783306121804</v>
      </c>
      <c r="BH138" s="2">
        <v>0.69826591014862105</v>
      </c>
      <c r="BI138" s="2">
        <v>0.54899495840072599</v>
      </c>
      <c r="BJ138" s="2">
        <v>0.59834074974060103</v>
      </c>
      <c r="BK138" s="2">
        <v>0.63182812929153398</v>
      </c>
      <c r="BL138" s="2">
        <v>0.59000349044799805</v>
      </c>
      <c r="BM138" s="2">
        <v>0.66091573238372803</v>
      </c>
      <c r="BN138" s="2">
        <v>0.60516506433486905</v>
      </c>
      <c r="BO138" s="2">
        <v>0.66219174861908003</v>
      </c>
      <c r="BP138" s="2">
        <v>0.60502809286117598</v>
      </c>
    </row>
    <row r="139" spans="1:68">
      <c r="A139" s="2" t="s">
        <v>321</v>
      </c>
      <c r="B139" s="2" t="s">
        <v>322</v>
      </c>
      <c r="C139" s="2" t="s">
        <v>837</v>
      </c>
      <c r="D139" s="2" t="s">
        <v>838</v>
      </c>
    </row>
    <row r="140" spans="1:68">
      <c r="A140" s="2" t="s">
        <v>323</v>
      </c>
      <c r="B140" s="2" t="s">
        <v>324</v>
      </c>
      <c r="C140" s="2" t="s">
        <v>837</v>
      </c>
      <c r="D140" s="2" t="s">
        <v>838</v>
      </c>
    </row>
    <row r="141" spans="1:68">
      <c r="A141" s="2" t="s">
        <v>325</v>
      </c>
      <c r="B141" s="2" t="s">
        <v>326</v>
      </c>
      <c r="C141" s="2" t="s">
        <v>837</v>
      </c>
      <c r="D141" s="2" t="s">
        <v>838</v>
      </c>
    </row>
    <row r="142" spans="1:68">
      <c r="A142" s="2" t="s">
        <v>327</v>
      </c>
      <c r="B142" s="2" t="s">
        <v>328</v>
      </c>
      <c r="C142" s="2" t="s">
        <v>837</v>
      </c>
      <c r="D142" s="2" t="s">
        <v>838</v>
      </c>
      <c r="AO142" s="2">
        <v>1.4677033424377399</v>
      </c>
      <c r="AQ142" s="2">
        <v>1.4746735095977801</v>
      </c>
      <c r="AS142" s="2">
        <v>1.4974180459976201</v>
      </c>
      <c r="AU142" s="2">
        <v>1.4848747253418</v>
      </c>
      <c r="AV142" s="2">
        <v>1.27146780490875</v>
      </c>
      <c r="AW142" s="2">
        <v>1.08084416389465</v>
      </c>
      <c r="AX142" s="2">
        <v>0.96619427204132102</v>
      </c>
      <c r="AY142" s="2">
        <v>1.05953097343445</v>
      </c>
      <c r="AZ142" s="2">
        <v>1.39488196372986</v>
      </c>
      <c r="BA142" s="2">
        <v>1.42050349712372</v>
      </c>
      <c r="BB142" s="2">
        <v>1.61128449440002</v>
      </c>
      <c r="BC142" s="2">
        <v>1.6167194843292201</v>
      </c>
      <c r="BD142" s="2">
        <v>1.6102602481842001</v>
      </c>
      <c r="BE142" s="2">
        <v>1.59499299526215</v>
      </c>
      <c r="BF142" s="2">
        <v>1.57755279541016</v>
      </c>
      <c r="BG142" s="2">
        <v>1.7398607730865501</v>
      </c>
      <c r="BH142" s="2">
        <v>1.6462650299072299</v>
      </c>
      <c r="BI142" s="2">
        <v>1.6466028690338099</v>
      </c>
      <c r="BJ142" s="2">
        <v>1.63437044620514</v>
      </c>
      <c r="BK142" s="2">
        <v>1.6346731185913099</v>
      </c>
      <c r="BL142" s="2">
        <v>1.6364285945892301</v>
      </c>
      <c r="BM142" s="2">
        <v>1.7157025337219201</v>
      </c>
      <c r="BN142" s="2">
        <v>1.7042607069015501</v>
      </c>
      <c r="BO142" s="2">
        <v>1.7199560403823899</v>
      </c>
      <c r="BP142" s="2">
        <v>1.71267354488373</v>
      </c>
    </row>
    <row r="143" spans="1:68">
      <c r="A143" s="2" t="s">
        <v>329</v>
      </c>
      <c r="B143" s="2" t="s">
        <v>330</v>
      </c>
      <c r="C143" s="2" t="s">
        <v>837</v>
      </c>
      <c r="D143" s="2" t="s">
        <v>838</v>
      </c>
      <c r="AO143" s="2">
        <v>0.16126023232936901</v>
      </c>
      <c r="AQ143" s="2">
        <v>6.4277157187461895E-2</v>
      </c>
      <c r="AS143" s="2">
        <v>0.15952958166599299</v>
      </c>
      <c r="AU143" s="2">
        <v>0.33885163068771401</v>
      </c>
      <c r="AV143" s="2">
        <v>0.24494187533855399</v>
      </c>
      <c r="AW143" s="2">
        <v>0.21113657951355</v>
      </c>
      <c r="AX143" s="2">
        <v>0.158469423651695</v>
      </c>
      <c r="AY143" s="2">
        <v>0.17775267362594599</v>
      </c>
      <c r="AZ143" s="2">
        <v>0.131876915693283</v>
      </c>
      <c r="BA143" s="2">
        <v>-7.7166530536487699E-4</v>
      </c>
      <c r="BB143" s="2">
        <v>-0.10163547098636599</v>
      </c>
      <c r="BC143" s="2">
        <v>-0.118414133787155</v>
      </c>
      <c r="BD143" s="2">
        <v>-0.117064774036407</v>
      </c>
      <c r="BE143" s="2">
        <v>-0.114084355533123</v>
      </c>
      <c r="BF143" s="2">
        <v>-0.26552149653434798</v>
      </c>
      <c r="BG143" s="2">
        <v>-0.14915905892848999</v>
      </c>
      <c r="BH143" s="2">
        <v>3.2372698187828099E-2</v>
      </c>
      <c r="BI143" s="2">
        <v>0.107386812567711</v>
      </c>
      <c r="BJ143" s="2">
        <v>2.7516484260559099E-2</v>
      </c>
      <c r="BK143" s="2">
        <v>-1.4581724826712199E-4</v>
      </c>
      <c r="BL143" s="2">
        <v>3.9878584444522899E-2</v>
      </c>
      <c r="BM143" s="2">
        <v>-5.8447914198040997E-3</v>
      </c>
      <c r="BN143" s="2">
        <v>1.6912149265408499E-2</v>
      </c>
      <c r="BO143" s="2">
        <v>-5.8002613484859501E-2</v>
      </c>
      <c r="BP143" s="2">
        <v>-9.0676814317703205E-2</v>
      </c>
    </row>
    <row r="144" spans="1:68">
      <c r="A144" s="2" t="s">
        <v>331</v>
      </c>
      <c r="B144" s="2" t="s">
        <v>332</v>
      </c>
      <c r="C144" s="2" t="s">
        <v>837</v>
      </c>
      <c r="D144" s="2" t="s">
        <v>838</v>
      </c>
    </row>
    <row r="145" spans="1:68">
      <c r="A145" s="2" t="s">
        <v>333</v>
      </c>
      <c r="B145" s="2" t="s">
        <v>334</v>
      </c>
      <c r="C145" s="2" t="s">
        <v>837</v>
      </c>
      <c r="D145" s="2" t="s">
        <v>838</v>
      </c>
    </row>
    <row r="146" spans="1:68">
      <c r="A146" s="2" t="s">
        <v>335</v>
      </c>
      <c r="B146" s="2" t="s">
        <v>336</v>
      </c>
      <c r="C146" s="2" t="s">
        <v>837</v>
      </c>
      <c r="D146" s="2" t="s">
        <v>838</v>
      </c>
      <c r="AO146" s="2">
        <v>9.8356641829013797E-2</v>
      </c>
      <c r="AQ146" s="2">
        <v>0.167446434497833</v>
      </c>
      <c r="AS146" s="2">
        <v>9.8110526800155598E-2</v>
      </c>
      <c r="AU146" s="2">
        <v>8.2418575882911696E-2</v>
      </c>
      <c r="AV146" s="2">
        <v>8.4663391113281194E-2</v>
      </c>
      <c r="AW146" s="2">
        <v>-0.12588723003864299</v>
      </c>
      <c r="AX146" s="2">
        <v>-0.189165323972702</v>
      </c>
      <c r="AY146" s="2">
        <v>-0.236582726240158</v>
      </c>
      <c r="AZ146" s="2">
        <v>-0.312398791313171</v>
      </c>
      <c r="BA146" s="2">
        <v>-0.24636732041835799</v>
      </c>
      <c r="BB146" s="2">
        <v>-0.22178611159324599</v>
      </c>
      <c r="BC146" s="2">
        <v>-0.29012939333915699</v>
      </c>
      <c r="BD146" s="2">
        <v>-0.27024084329605103</v>
      </c>
      <c r="BE146" s="2">
        <v>-0.26932346820831299</v>
      </c>
      <c r="BF146" s="2">
        <v>-0.20341672003269201</v>
      </c>
      <c r="BG146" s="2">
        <v>-0.209705591201782</v>
      </c>
      <c r="BH146" s="2">
        <v>-0.194238901138306</v>
      </c>
      <c r="BI146" s="2">
        <v>-0.186329171061516</v>
      </c>
      <c r="BJ146" s="2">
        <v>-0.300513446331024</v>
      </c>
      <c r="BK146" s="2">
        <v>-0.36634102463722201</v>
      </c>
      <c r="BL146" s="2">
        <v>-0.42695367336273199</v>
      </c>
      <c r="BM146" s="2">
        <v>-0.48789855837821999</v>
      </c>
      <c r="BN146" s="2">
        <v>-0.43136242032051098</v>
      </c>
      <c r="BO146" s="2">
        <v>-0.47329404950141901</v>
      </c>
      <c r="BP146" s="2">
        <v>-0.48001718521118197</v>
      </c>
    </row>
    <row r="147" spans="1:68">
      <c r="A147" s="2" t="s">
        <v>337</v>
      </c>
      <c r="B147" s="2" t="s">
        <v>338</v>
      </c>
      <c r="C147" s="2" t="s">
        <v>837</v>
      </c>
      <c r="D147" s="2" t="s">
        <v>838</v>
      </c>
    </row>
    <row r="148" spans="1:68">
      <c r="A148" s="2" t="s">
        <v>339</v>
      </c>
      <c r="B148" s="2" t="s">
        <v>340</v>
      </c>
      <c r="C148" s="2" t="s">
        <v>837</v>
      </c>
      <c r="D148" s="2" t="s">
        <v>838</v>
      </c>
      <c r="AO148" s="2">
        <v>0.44987970590591397</v>
      </c>
      <c r="AQ148" s="2">
        <v>0.55228877067565896</v>
      </c>
      <c r="AS148" s="2">
        <v>0.218402534723282</v>
      </c>
      <c r="AU148" s="2">
        <v>0.397895067930222</v>
      </c>
      <c r="AV148" s="2">
        <v>0.48524701595306402</v>
      </c>
      <c r="AW148" s="2">
        <v>0.56075930595397905</v>
      </c>
      <c r="AX148" s="2">
        <v>0.57713949680328402</v>
      </c>
      <c r="AY148" s="2">
        <v>0.70657503604888905</v>
      </c>
      <c r="AZ148" s="2">
        <v>0.68590015172958396</v>
      </c>
      <c r="BA148" s="2">
        <v>0.68401759862899802</v>
      </c>
      <c r="BB148" s="2">
        <v>0.72206860780715898</v>
      </c>
      <c r="BC148" s="2">
        <v>0.77632606029510498</v>
      </c>
      <c r="BD148" s="2">
        <v>0.76803117990493797</v>
      </c>
      <c r="BE148" s="2">
        <v>0.84475398063659701</v>
      </c>
      <c r="BF148" s="2">
        <v>0.82999891042709395</v>
      </c>
      <c r="BG148" s="2">
        <v>0.93746584653854403</v>
      </c>
      <c r="BH148" s="2">
        <v>0.97820919752121005</v>
      </c>
      <c r="BI148" s="2">
        <v>0.99674141407012895</v>
      </c>
      <c r="BJ148" s="2">
        <v>0.96151429414749101</v>
      </c>
      <c r="BK148" s="2">
        <v>0.92309820652008101</v>
      </c>
      <c r="BL148" s="2">
        <v>0.98598980903625499</v>
      </c>
      <c r="BM148" s="2">
        <v>0.94848245382309004</v>
      </c>
      <c r="BN148" s="2">
        <v>1.07464647293091</v>
      </c>
      <c r="BO148" s="2">
        <v>1.0603322982788099</v>
      </c>
      <c r="BP148" s="2">
        <v>1.26719617843628</v>
      </c>
    </row>
    <row r="149" spans="1:68">
      <c r="A149" s="2" t="s">
        <v>341</v>
      </c>
      <c r="B149" s="2" t="s">
        <v>342</v>
      </c>
      <c r="C149" s="2" t="s">
        <v>837</v>
      </c>
      <c r="D149" s="2" t="s">
        <v>838</v>
      </c>
      <c r="AO149" s="2">
        <v>1.70999908447266</v>
      </c>
      <c r="AQ149" s="2">
        <v>1.76372754573822</v>
      </c>
      <c r="AS149" s="2">
        <v>1.81531381607056</v>
      </c>
      <c r="AU149" s="2">
        <v>1.8705697059631301</v>
      </c>
      <c r="AV149" s="2">
        <v>1.8270285129547099</v>
      </c>
      <c r="AW149" s="2">
        <v>1.8449778556823699</v>
      </c>
      <c r="AX149" s="2">
        <v>1.8188005685806301</v>
      </c>
      <c r="AY149" s="2">
        <v>1.6867743730545</v>
      </c>
      <c r="AZ149" s="2">
        <v>1.7479099035263099</v>
      </c>
      <c r="BA149" s="2">
        <v>1.7893414497375499</v>
      </c>
      <c r="BB149" s="2">
        <v>1.8196836709976201</v>
      </c>
      <c r="BC149" s="2">
        <v>1.84410035610199</v>
      </c>
      <c r="BD149" s="2">
        <v>1.82353007793427</v>
      </c>
      <c r="BE149" s="2">
        <v>1.7916851043701201</v>
      </c>
      <c r="BF149" s="2">
        <v>1.8075591325759901</v>
      </c>
      <c r="BG149" s="2">
        <v>1.9019798040389999</v>
      </c>
      <c r="BH149" s="2">
        <v>1.83813381195068</v>
      </c>
      <c r="BI149" s="2">
        <v>1.71983742713928</v>
      </c>
      <c r="BJ149" s="2">
        <v>1.69909048080444</v>
      </c>
      <c r="BK149" s="2">
        <v>1.76795589923859</v>
      </c>
      <c r="BL149" s="2">
        <v>1.7495582103729199</v>
      </c>
      <c r="BM149" s="2">
        <v>1.73590040206909</v>
      </c>
      <c r="BN149" s="2">
        <v>1.7476220130920399</v>
      </c>
      <c r="BO149" s="2">
        <v>1.76851046085358</v>
      </c>
      <c r="BP149" s="2">
        <v>1.75243473052979</v>
      </c>
    </row>
    <row r="150" spans="1:68">
      <c r="A150" s="2" t="s">
        <v>343</v>
      </c>
      <c r="B150" s="2" t="s">
        <v>344</v>
      </c>
      <c r="C150" s="2" t="s">
        <v>837</v>
      </c>
      <c r="D150" s="2" t="s">
        <v>838</v>
      </c>
      <c r="AO150" s="2">
        <v>0.133667781949043</v>
      </c>
      <c r="AQ150" s="2">
        <v>0.23650829493999501</v>
      </c>
      <c r="AS150" s="2">
        <v>0.14890109002590199</v>
      </c>
      <c r="AU150" s="2">
        <v>0.31021988391876198</v>
      </c>
      <c r="AV150" s="2">
        <v>0.58185940980911299</v>
      </c>
      <c r="AW150" s="2">
        <v>0.538846015930176</v>
      </c>
      <c r="AX150" s="2">
        <v>0.56587791442871105</v>
      </c>
      <c r="AY150" s="2">
        <v>0.616893529891968</v>
      </c>
      <c r="AZ150" s="2">
        <v>0.71580481529235795</v>
      </c>
      <c r="BA150" s="2">
        <v>0.77732622623443604</v>
      </c>
      <c r="BB150" s="2">
        <v>0.78991663455963101</v>
      </c>
      <c r="BC150" s="2">
        <v>0.75860404968261697</v>
      </c>
      <c r="BD150" s="2">
        <v>0.74016880989074696</v>
      </c>
      <c r="BE150" s="2">
        <v>0.77992206811904896</v>
      </c>
      <c r="BF150" s="2">
        <v>0.76215213537216198</v>
      </c>
      <c r="BG150" s="2">
        <v>0.87091523408889804</v>
      </c>
      <c r="BH150" s="2">
        <v>0.766673684120178</v>
      </c>
      <c r="BI150" s="2">
        <v>0.92781996726989702</v>
      </c>
      <c r="BJ150" s="2">
        <v>0.90083539485931396</v>
      </c>
      <c r="BK150" s="2">
        <v>0.92318034172058105</v>
      </c>
      <c r="BL150" s="2">
        <v>0.97908455133438099</v>
      </c>
      <c r="BM150" s="2">
        <v>0.92213636636733998</v>
      </c>
      <c r="BN150" s="2">
        <v>0.94951647520065297</v>
      </c>
      <c r="BO150" s="2">
        <v>0.92103141546249401</v>
      </c>
      <c r="BP150" s="2">
        <v>1.03986096382141</v>
      </c>
    </row>
    <row r="151" spans="1:68">
      <c r="A151" s="2" t="s">
        <v>345</v>
      </c>
      <c r="B151" s="2" t="s">
        <v>346</v>
      </c>
      <c r="C151" s="2" t="s">
        <v>837</v>
      </c>
      <c r="D151" s="2" t="s">
        <v>838</v>
      </c>
      <c r="AO151" s="2">
        <v>0.21193362772464799</v>
      </c>
      <c r="AQ151" s="2">
        <v>0.20126885175705</v>
      </c>
      <c r="AS151" s="2">
        <v>0.18939881026744801</v>
      </c>
      <c r="AU151" s="2">
        <v>0.68856954574585005</v>
      </c>
      <c r="AV151" s="2">
        <v>1.2284450531005899</v>
      </c>
      <c r="AW151" s="2">
        <v>1.37110924720764</v>
      </c>
      <c r="AX151" s="2">
        <v>0.72019845247268699</v>
      </c>
      <c r="AY151" s="2">
        <v>0.43460395932197599</v>
      </c>
      <c r="AZ151" s="2">
        <v>0.309399664402008</v>
      </c>
      <c r="BA151" s="2">
        <v>0.457685977220535</v>
      </c>
      <c r="BB151" s="2">
        <v>0.70606368780136097</v>
      </c>
      <c r="BC151" s="2">
        <v>0.71714293956756603</v>
      </c>
      <c r="BD151" s="2">
        <v>0.686168372631073</v>
      </c>
      <c r="BE151" s="2">
        <v>0.64735621213912997</v>
      </c>
      <c r="BF151" s="2">
        <v>0.63820648193359397</v>
      </c>
      <c r="BG151" s="2">
        <v>0.95035272836685203</v>
      </c>
      <c r="BH151" s="2">
        <v>0.89123296737670898</v>
      </c>
      <c r="BI151" s="2">
        <v>0.82077717781066895</v>
      </c>
      <c r="BJ151" s="2">
        <v>0.814161896705627</v>
      </c>
      <c r="BK151" s="2">
        <v>0.97135567665100098</v>
      </c>
      <c r="BL151" s="2">
        <v>0.88164347410202004</v>
      </c>
      <c r="BM151" s="2">
        <v>0.81148082017898604</v>
      </c>
      <c r="BN151" s="2">
        <v>0.78034192323684703</v>
      </c>
      <c r="BO151" s="2">
        <v>0.79123634099960305</v>
      </c>
      <c r="BP151" s="2">
        <v>0.78323870897293102</v>
      </c>
    </row>
    <row r="152" spans="1:68">
      <c r="A152" s="2" t="s">
        <v>347</v>
      </c>
      <c r="B152" s="2" t="s">
        <v>348</v>
      </c>
      <c r="C152" s="2" t="s">
        <v>837</v>
      </c>
      <c r="D152" s="2" t="s">
        <v>838</v>
      </c>
    </row>
    <row r="153" spans="1:68">
      <c r="A153" s="2" t="s">
        <v>349</v>
      </c>
      <c r="B153" s="2" t="s">
        <v>350</v>
      </c>
      <c r="C153" s="2" t="s">
        <v>837</v>
      </c>
      <c r="D153" s="2" t="s">
        <v>838</v>
      </c>
      <c r="AO153" s="2">
        <v>0.22123131155967701</v>
      </c>
      <c r="AQ153" s="2">
        <v>0.12934026122093201</v>
      </c>
      <c r="AS153" s="2">
        <v>9.8202221095561995E-2</v>
      </c>
      <c r="AU153" s="2">
        <v>-4.9010798335075399E-2</v>
      </c>
      <c r="AV153" s="2">
        <v>-0.112911000847816</v>
      </c>
      <c r="AW153" s="2">
        <v>-4.9032051116228097E-2</v>
      </c>
      <c r="AX153" s="2">
        <v>-0.26963689923286399</v>
      </c>
      <c r="AY153" s="2">
        <v>-0.31818339228630099</v>
      </c>
      <c r="AZ153" s="2">
        <v>-0.32965067028999301</v>
      </c>
      <c r="BA153" s="2">
        <v>-0.385672748088837</v>
      </c>
      <c r="BB153" s="2">
        <v>-0.26281505823135398</v>
      </c>
      <c r="BC153" s="2">
        <v>-0.21353417634964</v>
      </c>
      <c r="BD153" s="2">
        <v>-0.27548447251319902</v>
      </c>
      <c r="BE153" s="2">
        <v>-0.29232874512672402</v>
      </c>
      <c r="BF153" s="2">
        <v>-0.34468615055084201</v>
      </c>
      <c r="BG153" s="2">
        <v>-0.13096116483211501</v>
      </c>
      <c r="BH153" s="2">
        <v>-0.181371480226517</v>
      </c>
      <c r="BI153" s="2">
        <v>-0.27275422215461698</v>
      </c>
      <c r="BJ153" s="2">
        <v>-0.27835819125175498</v>
      </c>
      <c r="BK153" s="2">
        <v>-0.24864460527896901</v>
      </c>
      <c r="BL153" s="2">
        <v>-0.23337709903716999</v>
      </c>
      <c r="BM153" s="2">
        <v>-0.186950773000717</v>
      </c>
      <c r="BN153" s="2">
        <v>-0.243680879473686</v>
      </c>
      <c r="BO153" s="2">
        <v>-0.206644892692566</v>
      </c>
      <c r="BP153" s="2">
        <v>-0.127505928277969</v>
      </c>
    </row>
    <row r="154" spans="1:68">
      <c r="A154" s="2" t="s">
        <v>351</v>
      </c>
      <c r="B154" s="2" t="s">
        <v>352</v>
      </c>
      <c r="C154" s="2" t="s">
        <v>837</v>
      </c>
      <c r="D154" s="2" t="s">
        <v>838</v>
      </c>
      <c r="AO154" s="2">
        <v>0.80914056301116899</v>
      </c>
      <c r="AQ154" s="2">
        <v>0.87650817632675204</v>
      </c>
      <c r="AS154" s="2">
        <v>0.83971226215362504</v>
      </c>
      <c r="AU154" s="2">
        <v>0.83394581079482999</v>
      </c>
      <c r="AV154" s="2">
        <v>0.83328413963317904</v>
      </c>
      <c r="AW154" s="2">
        <v>0.82633042335510298</v>
      </c>
      <c r="AX154" s="2">
        <v>0.776517033576965</v>
      </c>
      <c r="AY154" s="2">
        <v>0.98430705070495605</v>
      </c>
      <c r="AZ154" s="2">
        <v>0.87686491012573198</v>
      </c>
      <c r="BA154" s="2">
        <v>0.90197908878326405</v>
      </c>
      <c r="BB154" s="2">
        <v>0.94385725259780895</v>
      </c>
      <c r="BC154" s="2">
        <v>0.88235425949096702</v>
      </c>
      <c r="BD154" s="2">
        <v>0.93960809707641602</v>
      </c>
      <c r="BE154" s="2">
        <v>0.92688065767288197</v>
      </c>
      <c r="BF154" s="2">
        <v>0.92914676666259799</v>
      </c>
      <c r="BH154" s="2">
        <v>1.5131918191909799</v>
      </c>
      <c r="BI154" s="2">
        <v>1.5129361152648899</v>
      </c>
      <c r="BJ154" s="2">
        <v>1.5355688333511399</v>
      </c>
      <c r="BK154" s="2">
        <v>1.5365079641342201</v>
      </c>
      <c r="BL154" s="2">
        <v>1.51021492481232</v>
      </c>
      <c r="BM154" s="2">
        <v>1.3668347597122199</v>
      </c>
      <c r="BN154" s="2">
        <v>1.3904055356979399</v>
      </c>
      <c r="BO154" s="2">
        <v>1.4854830503463701</v>
      </c>
      <c r="BP154" s="2">
        <v>1.4768989086151101</v>
      </c>
    </row>
    <row r="155" spans="1:68">
      <c r="A155" s="2" t="s">
        <v>353</v>
      </c>
      <c r="B155" s="2" t="s">
        <v>354</v>
      </c>
      <c r="C155" s="2" t="s">
        <v>837</v>
      </c>
      <c r="D155" s="2" t="s">
        <v>838</v>
      </c>
      <c r="AO155" s="2">
        <v>-0.121130093932152</v>
      </c>
      <c r="AQ155" s="2">
        <v>-6.3543558120727497E-2</v>
      </c>
      <c r="AS155" s="2">
        <v>-0.46869668364524802</v>
      </c>
      <c r="AU155" s="2">
        <v>-0.62615978717803999</v>
      </c>
      <c r="AV155" s="2">
        <v>-0.53944510221481301</v>
      </c>
      <c r="AW155" s="2">
        <v>-0.36706992983818099</v>
      </c>
      <c r="AX155" s="2">
        <v>-0.35152873396873502</v>
      </c>
      <c r="AY155" s="2">
        <v>-0.51764994859695401</v>
      </c>
      <c r="AZ155" s="2">
        <v>-0.50661295652389504</v>
      </c>
      <c r="BA155" s="2">
        <v>-0.42404124140739402</v>
      </c>
      <c r="BB155" s="2">
        <v>-0.43459501862525901</v>
      </c>
      <c r="BC155" s="2">
        <v>-0.35761108994483898</v>
      </c>
      <c r="BD155" s="2">
        <v>-0.32768046855926503</v>
      </c>
      <c r="BE155" s="2">
        <v>-0.32300740480423001</v>
      </c>
      <c r="BF155" s="2">
        <v>-0.370096445083618</v>
      </c>
      <c r="BG155" s="2">
        <v>-0.24621203541755701</v>
      </c>
      <c r="BH155" s="2">
        <v>-0.38366597890853898</v>
      </c>
      <c r="BI155" s="2">
        <v>-0.529219090938568</v>
      </c>
      <c r="BJ155" s="2">
        <v>-0.45182839035987898</v>
      </c>
      <c r="BK155" s="2">
        <v>-0.43880274891853299</v>
      </c>
      <c r="BL155" s="2">
        <v>-0.45808991789817799</v>
      </c>
      <c r="BM155" s="2">
        <v>-0.51500558853149403</v>
      </c>
      <c r="BN155" s="2">
        <v>-0.35734102129936202</v>
      </c>
      <c r="BO155" s="2">
        <v>-0.28640121221542397</v>
      </c>
      <c r="BP155" s="2">
        <v>-0.152658581733704</v>
      </c>
    </row>
    <row r="156" spans="1:68">
      <c r="A156" s="2" t="s">
        <v>355</v>
      </c>
      <c r="B156" s="2" t="s">
        <v>356</v>
      </c>
      <c r="C156" s="2" t="s">
        <v>837</v>
      </c>
      <c r="D156" s="2" t="s">
        <v>838</v>
      </c>
      <c r="AO156" s="2">
        <v>-0.40352174639701799</v>
      </c>
      <c r="AQ156" s="2">
        <v>-0.37104406952857999</v>
      </c>
      <c r="AS156" s="2">
        <v>-0.19351315498352101</v>
      </c>
      <c r="AU156" s="2">
        <v>-0.20968161523342099</v>
      </c>
      <c r="AV156" s="2">
        <v>-0.24657352268695801</v>
      </c>
      <c r="AW156" s="2">
        <v>-0.27437165379524198</v>
      </c>
      <c r="AX156" s="2">
        <v>-0.35279223322868303</v>
      </c>
      <c r="AY156" s="2">
        <v>-0.44840908050537098</v>
      </c>
      <c r="AZ156" s="2">
        <v>-0.38940167427062999</v>
      </c>
      <c r="BA156" s="2">
        <v>-0.45565575361251798</v>
      </c>
      <c r="BB156" s="2">
        <v>-0.73262745141982999</v>
      </c>
      <c r="BC156" s="2">
        <v>-0.87842571735382102</v>
      </c>
      <c r="BD156" s="2">
        <v>-0.89496743679046598</v>
      </c>
      <c r="BE156" s="2">
        <v>-0.92783379554748502</v>
      </c>
      <c r="BF156" s="2">
        <v>-0.92076551914215099</v>
      </c>
      <c r="BG156" s="2">
        <v>-0.73694729804992698</v>
      </c>
      <c r="BH156" s="2">
        <v>-0.70509457588195801</v>
      </c>
      <c r="BI156" s="2">
        <v>-0.83199918270111095</v>
      </c>
      <c r="BJ156" s="2">
        <v>-0.87574160099029497</v>
      </c>
      <c r="BK156" s="2">
        <v>-0.83635604381561302</v>
      </c>
      <c r="BL156" s="2">
        <v>-1.01349878311157</v>
      </c>
      <c r="BM156" s="2">
        <v>-0.87963384389877297</v>
      </c>
      <c r="BN156" s="2">
        <v>-0.88559556007385298</v>
      </c>
      <c r="BO156" s="2">
        <v>-0.95002168416976895</v>
      </c>
      <c r="BP156" s="2">
        <v>-0.97494602203369096</v>
      </c>
    </row>
    <row r="157" spans="1:68">
      <c r="A157" s="2" t="s">
        <v>357</v>
      </c>
      <c r="B157" s="2" t="s">
        <v>358</v>
      </c>
      <c r="C157" s="2" t="s">
        <v>837</v>
      </c>
      <c r="D157" s="2" t="s">
        <v>838</v>
      </c>
      <c r="AO157" s="2">
        <v>1.7489830031991001E-2</v>
      </c>
      <c r="AQ157" s="2">
        <v>-0.176737040281296</v>
      </c>
      <c r="AS157" s="2">
        <v>0.25367838144302401</v>
      </c>
      <c r="AU157" s="2">
        <v>-6.9341622292995495E-2</v>
      </c>
      <c r="AV157" s="2">
        <v>7.9446732997894301E-2</v>
      </c>
      <c r="AW157" s="2">
        <v>-0.29839363694191001</v>
      </c>
      <c r="AX157" s="2">
        <v>9.0369150042533902E-2</v>
      </c>
      <c r="AY157" s="2">
        <v>-3.4912697970867199E-2</v>
      </c>
      <c r="AZ157" s="2">
        <v>-0.131116077303886</v>
      </c>
      <c r="BA157" s="2">
        <v>-0.171761319041252</v>
      </c>
      <c r="BB157" s="2">
        <v>-0.15159292519092599</v>
      </c>
      <c r="BC157" s="2">
        <v>-0.319186180830002</v>
      </c>
      <c r="BD157" s="2">
        <v>-0.54226893186569203</v>
      </c>
      <c r="BE157" s="2">
        <v>-0.54450100660324097</v>
      </c>
      <c r="BF157" s="2">
        <v>-0.72413170337677002</v>
      </c>
      <c r="BG157" s="2">
        <v>-0.48939177393913302</v>
      </c>
      <c r="BH157" s="2">
        <v>-0.56062710285186801</v>
      </c>
      <c r="BI157" s="2">
        <v>-0.32453677058219899</v>
      </c>
      <c r="BJ157" s="2">
        <v>-0.57332801818847701</v>
      </c>
      <c r="BK157" s="2">
        <v>-0.53855723142623901</v>
      </c>
      <c r="BL157" s="2">
        <v>-0.38237300515174899</v>
      </c>
      <c r="BM157" s="2">
        <v>-0.23943522572517401</v>
      </c>
      <c r="BN157" s="2">
        <v>-0.114723898470402</v>
      </c>
      <c r="BO157" s="2">
        <v>4.4250261038541801E-2</v>
      </c>
      <c r="BP157" s="2">
        <v>-7.8601524233818096E-2</v>
      </c>
    </row>
    <row r="158" spans="1:68">
      <c r="A158" s="2" t="s">
        <v>359</v>
      </c>
      <c r="B158" s="2" t="s">
        <v>360</v>
      </c>
      <c r="C158" s="2" t="s">
        <v>837</v>
      </c>
      <c r="D158" s="2" t="s">
        <v>838</v>
      </c>
    </row>
    <row r="159" spans="1:68">
      <c r="A159" s="2" t="s">
        <v>361</v>
      </c>
      <c r="B159" s="2" t="s">
        <v>362</v>
      </c>
      <c r="C159" s="2" t="s">
        <v>837</v>
      </c>
      <c r="D159" s="2" t="s">
        <v>838</v>
      </c>
      <c r="AO159" s="2">
        <v>-0.72664636373519897</v>
      </c>
      <c r="AQ159" s="2">
        <v>-0.532132267951965</v>
      </c>
      <c r="AS159" s="2">
        <v>-0.42650955915451</v>
      </c>
      <c r="AU159" s="2">
        <v>-0.349208414554596</v>
      </c>
      <c r="AV159" s="2">
        <v>-0.37790271639823902</v>
      </c>
      <c r="AW159" s="2">
        <v>-0.40991047024726901</v>
      </c>
      <c r="AX159" s="2">
        <v>-0.38298952579498302</v>
      </c>
      <c r="AY159" s="2">
        <v>-0.47254627943038902</v>
      </c>
      <c r="AZ159" s="2">
        <v>-0.54293221235275302</v>
      </c>
      <c r="BA159" s="2">
        <v>-0.68928354978561401</v>
      </c>
      <c r="BB159" s="2">
        <v>-0.56286883354187001</v>
      </c>
      <c r="BC159" s="2">
        <v>-0.55203133821487405</v>
      </c>
      <c r="BD159" s="2">
        <v>-0.54988771677017201</v>
      </c>
      <c r="BE159" s="2">
        <v>-0.53518009185791005</v>
      </c>
      <c r="BF159" s="2">
        <v>-0.54941642284393299</v>
      </c>
      <c r="BG159" s="2">
        <v>-0.40668800473213201</v>
      </c>
      <c r="BH159" s="2">
        <v>-0.45476585626602201</v>
      </c>
      <c r="BI159" s="2">
        <v>-0.579800665378571</v>
      </c>
      <c r="BJ159" s="2">
        <v>-0.58464872837066695</v>
      </c>
      <c r="BK159" s="2">
        <v>-0.641221523284912</v>
      </c>
      <c r="BL159" s="2">
        <v>-0.65791845321655296</v>
      </c>
      <c r="BM159" s="2">
        <v>-0.64218217134475697</v>
      </c>
      <c r="BN159" s="2">
        <v>-0.80799651145935103</v>
      </c>
      <c r="BO159" s="2">
        <v>-0.86942505836486805</v>
      </c>
      <c r="BP159" s="2">
        <v>-0.80639392137527499</v>
      </c>
    </row>
    <row r="160" spans="1:68">
      <c r="A160" s="2" t="s">
        <v>363</v>
      </c>
      <c r="B160" s="2" t="s">
        <v>364</v>
      </c>
      <c r="C160" s="2" t="s">
        <v>837</v>
      </c>
      <c r="D160" s="2" t="s">
        <v>838</v>
      </c>
      <c r="AO160" s="2">
        <v>-0.20215345919132199</v>
      </c>
      <c r="AQ160" s="2">
        <v>-0.16120962798595401</v>
      </c>
      <c r="AS160" s="2">
        <v>0.83971226215362504</v>
      </c>
      <c r="AU160" s="2">
        <v>0.83394581079482999</v>
      </c>
      <c r="AV160" s="2">
        <v>0.83328413963317904</v>
      </c>
      <c r="AW160" s="2">
        <v>0.82633042335510298</v>
      </c>
      <c r="AX160" s="2">
        <v>0.49872300028800998</v>
      </c>
      <c r="AY160" s="2">
        <v>0.62796336412429798</v>
      </c>
      <c r="AZ160" s="2">
        <v>0.87327659130096402</v>
      </c>
      <c r="BA160" s="2">
        <v>0.79041522741317705</v>
      </c>
      <c r="BB160" s="2">
        <v>0.33556205034255998</v>
      </c>
      <c r="BC160" s="2">
        <v>0.404105573892593</v>
      </c>
      <c r="BD160" s="2">
        <v>0.17293165624141699</v>
      </c>
      <c r="BE160" s="2">
        <v>0.106395050883293</v>
      </c>
      <c r="BF160" s="2">
        <v>0.24383921921253199</v>
      </c>
      <c r="BG160" s="2">
        <v>-0.19934102892875699</v>
      </c>
      <c r="BH160" s="2">
        <v>2.22573685459793E-3</v>
      </c>
      <c r="BI160" s="2">
        <v>0.11899241060018501</v>
      </c>
      <c r="BJ160" s="2">
        <v>0.27940294146537797</v>
      </c>
      <c r="BK160" s="2">
        <v>0.16409254074096699</v>
      </c>
      <c r="BL160" s="2">
        <v>0.45946401357650801</v>
      </c>
      <c r="BM160" s="2">
        <v>0.59727954864501998</v>
      </c>
      <c r="BN160" s="2">
        <v>0.77254241704940796</v>
      </c>
      <c r="BO160" s="2">
        <v>0.72984981536865201</v>
      </c>
      <c r="BP160" s="2">
        <v>0.67699724435806297</v>
      </c>
    </row>
    <row r="161" spans="1:68">
      <c r="A161" s="2" t="s">
        <v>365</v>
      </c>
      <c r="B161" s="2" t="s">
        <v>366</v>
      </c>
      <c r="C161" s="2" t="s">
        <v>837</v>
      </c>
      <c r="D161" s="2" t="s">
        <v>838</v>
      </c>
    </row>
    <row r="162" spans="1:68">
      <c r="A162" s="2" t="s">
        <v>367</v>
      </c>
      <c r="B162" s="2" t="s">
        <v>368</v>
      </c>
      <c r="C162" s="2" t="s">
        <v>837</v>
      </c>
      <c r="D162" s="2" t="s">
        <v>838</v>
      </c>
      <c r="AO162" s="2">
        <v>-0.30762225389480602</v>
      </c>
      <c r="AQ162" s="2">
        <v>-0.33166879415512102</v>
      </c>
      <c r="AS162" s="2">
        <v>-0.59657257795333896</v>
      </c>
      <c r="AU162" s="2">
        <v>-0.57630401849746704</v>
      </c>
      <c r="AV162" s="2">
        <v>-0.506772220134735</v>
      </c>
      <c r="AW162" s="2">
        <v>-0.19275261461734799</v>
      </c>
      <c r="AX162" s="2">
        <v>-0.29717135429382302</v>
      </c>
      <c r="AY162" s="2">
        <v>-0.53763037919998202</v>
      </c>
      <c r="AZ162" s="2">
        <v>-0.42130321264267001</v>
      </c>
      <c r="BA162" s="2">
        <v>-0.32037752866745001</v>
      </c>
      <c r="BB162" s="2">
        <v>-0.29189315438270602</v>
      </c>
      <c r="BC162" s="2">
        <v>-0.30220833420753501</v>
      </c>
      <c r="BD162" s="2">
        <v>-0.26950889825820901</v>
      </c>
      <c r="BE162" s="2">
        <v>-0.251570194959641</v>
      </c>
      <c r="BF162" s="2">
        <v>-0.23094788193702701</v>
      </c>
      <c r="BG162" s="2">
        <v>-5.5818300694227198E-2</v>
      </c>
      <c r="BH162" s="2">
        <v>-0.23784674704074901</v>
      </c>
      <c r="BI162" s="2">
        <v>-0.34436836838722201</v>
      </c>
      <c r="BJ162" s="2">
        <v>-0.31062355637550398</v>
      </c>
      <c r="BK162" s="2">
        <v>-0.30850318074226402</v>
      </c>
      <c r="BL162" s="2">
        <v>-0.30662575364112898</v>
      </c>
      <c r="BM162" s="2">
        <v>-0.106092594563961</v>
      </c>
      <c r="BN162" s="2">
        <v>-0.100468806922436</v>
      </c>
      <c r="BO162" s="2">
        <v>-9.6887558698654203E-2</v>
      </c>
      <c r="BP162" s="2">
        <v>-0.16804489493370101</v>
      </c>
    </row>
    <row r="163" spans="1:68">
      <c r="A163" s="2" t="s">
        <v>369</v>
      </c>
      <c r="B163" s="2" t="s">
        <v>370</v>
      </c>
      <c r="C163" s="2" t="s">
        <v>837</v>
      </c>
      <c r="D163" s="2" t="s">
        <v>838</v>
      </c>
      <c r="AO163" s="2">
        <v>-0.29691082239151001</v>
      </c>
      <c r="AQ163" s="2">
        <v>-0.227835923433304</v>
      </c>
      <c r="AS163" s="2">
        <v>-0.24197061359882399</v>
      </c>
      <c r="AU163" s="2">
        <v>-0.26400431990623502</v>
      </c>
      <c r="AV163" s="2">
        <v>3.0082575976848599E-2</v>
      </c>
      <c r="AW163" s="2">
        <v>-0.19413742423057601</v>
      </c>
      <c r="AX163" s="2">
        <v>-0.14004294574260701</v>
      </c>
      <c r="AY163" s="2">
        <v>-0.28743439912795998</v>
      </c>
      <c r="AZ163" s="2">
        <v>-0.182401552796364</v>
      </c>
      <c r="BA163" s="2">
        <v>-0.31948363780975297</v>
      </c>
      <c r="BB163" s="2">
        <v>-0.36310139298438998</v>
      </c>
      <c r="BC163" s="2">
        <v>-0.44725793600082397</v>
      </c>
      <c r="BD163" s="2">
        <v>-0.50021821260452304</v>
      </c>
      <c r="BE163" s="2">
        <v>-0.66488873958587602</v>
      </c>
      <c r="BF163" s="2">
        <v>-0.74717503786087003</v>
      </c>
      <c r="BG163" s="2">
        <v>-0.63523393869400002</v>
      </c>
      <c r="BH163" s="2">
        <v>-0.75167179107666005</v>
      </c>
      <c r="BI163" s="2">
        <v>-0.79918819665908802</v>
      </c>
      <c r="BJ163" s="2">
        <v>-0.79297471046447798</v>
      </c>
      <c r="BK163" s="2">
        <v>-0.81561231613159202</v>
      </c>
      <c r="BL163" s="2">
        <v>-0.86484128236770597</v>
      </c>
      <c r="BM163" s="2">
        <v>-0.94909322261810303</v>
      </c>
      <c r="BN163" s="2">
        <v>-0.91933411359786998</v>
      </c>
      <c r="BO163" s="2">
        <v>-0.98234295845031705</v>
      </c>
      <c r="BP163" s="2">
        <v>-0.97764974832534801</v>
      </c>
    </row>
    <row r="164" spans="1:68">
      <c r="A164" s="2" t="s">
        <v>371</v>
      </c>
      <c r="B164" s="2" t="s">
        <v>372</v>
      </c>
      <c r="C164" s="2" t="s">
        <v>837</v>
      </c>
      <c r="D164" s="2" t="s">
        <v>838</v>
      </c>
      <c r="AO164" s="2">
        <v>1.0539695024490401</v>
      </c>
      <c r="AQ164" s="2">
        <v>1.2612122297287001</v>
      </c>
      <c r="AS164" s="2">
        <v>1.3641529083252</v>
      </c>
      <c r="AU164" s="2">
        <v>1.47494268417358</v>
      </c>
      <c r="AV164" s="2">
        <v>1.5399596691131601</v>
      </c>
      <c r="AW164" s="2">
        <v>1.3133174180984499</v>
      </c>
      <c r="AX164" s="2">
        <v>1.4158693552017201</v>
      </c>
      <c r="AY164" s="2">
        <v>1.5556266307830799</v>
      </c>
      <c r="AZ164" s="2">
        <v>1.61292576789856</v>
      </c>
      <c r="BA164" s="2">
        <v>1.6136599779128999</v>
      </c>
      <c r="BB164" s="2">
        <v>1.47365593910217</v>
      </c>
      <c r="BC164" s="2">
        <v>1.41011226177216</v>
      </c>
      <c r="BD164" s="2">
        <v>1.27858006954193</v>
      </c>
      <c r="BE164" s="2">
        <v>1.3385082483291599</v>
      </c>
      <c r="BF164" s="2">
        <v>1.3258126974105799</v>
      </c>
      <c r="BG164" s="2">
        <v>1.19110727310181</v>
      </c>
      <c r="BH164" s="2">
        <v>1.1067533493042001</v>
      </c>
      <c r="BI164" s="2">
        <v>0.96890902519226096</v>
      </c>
      <c r="BJ164" s="2">
        <v>1.1129608154296899</v>
      </c>
      <c r="BK164" s="2">
        <v>1.0199723243713401</v>
      </c>
      <c r="BL164" s="2">
        <v>0.921630799770355</v>
      </c>
      <c r="BM164" s="2">
        <v>0.88372611999511697</v>
      </c>
      <c r="BN164" s="2">
        <v>0.83541154861450195</v>
      </c>
      <c r="BO164" s="2">
        <v>0.78565484285354603</v>
      </c>
      <c r="BP164" s="2">
        <v>0.70232760906219505</v>
      </c>
    </row>
    <row r="165" spans="1:68">
      <c r="A165" s="2" t="s">
        <v>373</v>
      </c>
      <c r="B165" s="2" t="s">
        <v>374</v>
      </c>
      <c r="C165" s="2" t="s">
        <v>837</v>
      </c>
      <c r="D165" s="2" t="s">
        <v>838</v>
      </c>
      <c r="AO165" s="2">
        <v>-1.5806139707565301</v>
      </c>
      <c r="AQ165" s="2">
        <v>-1.53433048725128</v>
      </c>
      <c r="AS165" s="2">
        <v>-1.4288915395736701</v>
      </c>
      <c r="AU165" s="2">
        <v>-1.71623635292053</v>
      </c>
      <c r="AV165" s="2">
        <v>-1.7036999464035001</v>
      </c>
      <c r="AW165" s="2">
        <v>-1.7362893819809</v>
      </c>
      <c r="AX165" s="2">
        <v>-1.7358708381652801</v>
      </c>
      <c r="AY165" s="2">
        <v>-1.5354851484298699</v>
      </c>
      <c r="AZ165" s="2">
        <v>-1.54923272132874</v>
      </c>
      <c r="BA165" s="2">
        <v>-1.5420737266540501</v>
      </c>
      <c r="BB165" s="2">
        <v>-1.5350366830825799</v>
      </c>
      <c r="BC165" s="2">
        <v>-1.5512946844101001</v>
      </c>
      <c r="BD165" s="2">
        <v>-1.4396660327911399</v>
      </c>
      <c r="BE165" s="2">
        <v>-1.3567754030227701</v>
      </c>
      <c r="BF165" s="2">
        <v>-1.2435702085495</v>
      </c>
      <c r="BG165" s="2">
        <v>-1.19439601898193</v>
      </c>
      <c r="BH165" s="2">
        <v>-1.2590318918228101</v>
      </c>
      <c r="BI165" s="2">
        <v>-0.90235567092895497</v>
      </c>
      <c r="BJ165" s="2">
        <v>-0.95928293466568004</v>
      </c>
      <c r="BK165" s="2">
        <v>-1.0436719655990601</v>
      </c>
      <c r="BL165" s="2">
        <v>-1.0792920589446999</v>
      </c>
      <c r="BM165" s="2">
        <v>-1.1957092285156199</v>
      </c>
      <c r="BN165" s="2">
        <v>-1.4677803516387899</v>
      </c>
      <c r="BO165" s="2">
        <v>-1.52809286117554</v>
      </c>
      <c r="BP165" s="2">
        <v>-1.6169408559799201</v>
      </c>
    </row>
    <row r="166" spans="1:68">
      <c r="A166" s="2" t="s">
        <v>375</v>
      </c>
      <c r="B166" s="2" t="s">
        <v>376</v>
      </c>
      <c r="C166" s="2" t="s">
        <v>837</v>
      </c>
      <c r="D166" s="2" t="s">
        <v>838</v>
      </c>
    </row>
    <row r="167" spans="1:68">
      <c r="A167" s="2" t="s">
        <v>377</v>
      </c>
      <c r="B167" s="2" t="s">
        <v>378</v>
      </c>
      <c r="C167" s="2" t="s">
        <v>837</v>
      </c>
      <c r="D167" s="2" t="s">
        <v>838</v>
      </c>
      <c r="AQ167" s="2">
        <v>-0.79322499036788896</v>
      </c>
      <c r="AS167" s="2">
        <v>0.31673613190650901</v>
      </c>
      <c r="AU167" s="2">
        <v>0.27407020330429099</v>
      </c>
      <c r="AV167" s="2">
        <v>-0.17540141940116899</v>
      </c>
      <c r="AW167" s="2">
        <v>-0.215662121772766</v>
      </c>
      <c r="AX167" s="2">
        <v>-0.138817459344864</v>
      </c>
      <c r="AY167" s="2">
        <v>-0.21269017457962</v>
      </c>
      <c r="AZ167" s="2">
        <v>-0.19427369534969299</v>
      </c>
      <c r="BA167" s="2">
        <v>-8.8904634118080098E-2</v>
      </c>
      <c r="BB167" s="2">
        <v>-1.6553286463022201E-2</v>
      </c>
      <c r="BC167" s="2">
        <v>-6.3613630831241594E-2</v>
      </c>
      <c r="BD167" s="2">
        <v>-5.8861792087554897E-2</v>
      </c>
      <c r="BE167" s="2">
        <v>-5.8480583131313303E-2</v>
      </c>
      <c r="BF167" s="2">
        <v>-3.4375622868537903E-2</v>
      </c>
      <c r="BG167" s="2">
        <v>1.40005685389042E-2</v>
      </c>
      <c r="BH167" s="2">
        <v>-4.5678589493036298E-2</v>
      </c>
      <c r="BI167" s="2">
        <v>-0.135133937001228</v>
      </c>
      <c r="BJ167" s="2">
        <v>-0.111639104783535</v>
      </c>
      <c r="BK167" s="2">
        <v>2.7681780047714702E-3</v>
      </c>
      <c r="BL167" s="2">
        <v>-7.4288840405643004E-3</v>
      </c>
      <c r="BM167" s="2">
        <v>-4.0588933974504499E-2</v>
      </c>
      <c r="BN167" s="2">
        <v>-8.4064036607742296E-2</v>
      </c>
      <c r="BO167" s="2">
        <v>-0.12611691653728499</v>
      </c>
      <c r="BP167" s="2">
        <v>-4.21564690768719E-2</v>
      </c>
    </row>
    <row r="168" spans="1:68">
      <c r="A168" s="2" t="s">
        <v>379</v>
      </c>
      <c r="B168" s="2" t="s">
        <v>380</v>
      </c>
      <c r="C168" s="2" t="s">
        <v>837</v>
      </c>
      <c r="D168" s="2" t="s">
        <v>838</v>
      </c>
      <c r="AO168" s="2">
        <v>0.201410368084908</v>
      </c>
      <c r="AQ168" s="2">
        <v>0.24299953877925901</v>
      </c>
      <c r="AS168" s="2">
        <v>5.0848617684096098E-4</v>
      </c>
      <c r="AU168" s="2">
        <v>0.240923017263412</v>
      </c>
      <c r="AV168" s="2">
        <v>0.29858094453811601</v>
      </c>
      <c r="AW168" s="2">
        <v>0.17883037030696899</v>
      </c>
      <c r="AX168" s="2">
        <v>-0.21800407767295801</v>
      </c>
      <c r="AY168" s="2">
        <v>-0.31671890616416898</v>
      </c>
      <c r="AZ168" s="2">
        <v>-0.34068104624748202</v>
      </c>
      <c r="BA168" s="2">
        <v>-0.33484902977943398</v>
      </c>
      <c r="BB168" s="2">
        <v>-0.26337549090385398</v>
      </c>
      <c r="BC168" s="2">
        <v>-0.36484119296073902</v>
      </c>
      <c r="BD168" s="2">
        <v>-0.26226925849914601</v>
      </c>
      <c r="BE168" s="2">
        <v>-0.36721265316009499</v>
      </c>
      <c r="BF168" s="2">
        <v>-0.36220037937164301</v>
      </c>
      <c r="BG168" s="2">
        <v>-0.330989390611649</v>
      </c>
      <c r="BH168" s="2">
        <v>-0.38992542028427102</v>
      </c>
      <c r="BI168" s="2">
        <v>-0.226335674524307</v>
      </c>
      <c r="BJ168" s="2">
        <v>-0.31659698486328097</v>
      </c>
      <c r="BK168" s="2">
        <v>-0.27861273288726801</v>
      </c>
      <c r="BL168" s="2">
        <v>-0.25833010673522899</v>
      </c>
      <c r="BM168" s="2">
        <v>-0.269424438476562</v>
      </c>
      <c r="BN168" s="2">
        <v>-0.25020286440849299</v>
      </c>
      <c r="BO168" s="2">
        <v>-0.18778176605701399</v>
      </c>
      <c r="BP168" s="2">
        <v>-0.18448071181774101</v>
      </c>
    </row>
    <row r="169" spans="1:68">
      <c r="A169" s="2" t="s">
        <v>381</v>
      </c>
      <c r="B169" s="2" t="s">
        <v>382</v>
      </c>
      <c r="C169" s="2" t="s">
        <v>837</v>
      </c>
      <c r="D169" s="2" t="s">
        <v>838</v>
      </c>
    </row>
    <row r="170" spans="1:68">
      <c r="A170" s="2" t="s">
        <v>383</v>
      </c>
      <c r="B170" s="2" t="s">
        <v>384</v>
      </c>
      <c r="C170" s="2" t="s">
        <v>837</v>
      </c>
      <c r="D170" s="2" t="s">
        <v>838</v>
      </c>
      <c r="AO170" s="2">
        <v>-0.80568993091583296</v>
      </c>
      <c r="AQ170" s="2">
        <v>-0.83223414421081499</v>
      </c>
      <c r="AS170" s="2">
        <v>-0.802073955535889</v>
      </c>
      <c r="AU170" s="2">
        <v>-0.732186138629913</v>
      </c>
      <c r="AV170" s="2">
        <v>-0.70158040523529097</v>
      </c>
      <c r="AW170" s="2">
        <v>-0.68005400896072399</v>
      </c>
      <c r="AX170" s="2">
        <v>-0.63374441862106301</v>
      </c>
      <c r="AY170" s="2">
        <v>-0.619978487491608</v>
      </c>
      <c r="AZ170" s="2">
        <v>-0.60917347669601396</v>
      </c>
      <c r="BA170" s="2">
        <v>-0.61665809154510498</v>
      </c>
      <c r="BB170" s="2">
        <v>-0.600408315658569</v>
      </c>
      <c r="BC170" s="2">
        <v>-0.48764660954475397</v>
      </c>
      <c r="BD170" s="2">
        <v>-0.57984572649002097</v>
      </c>
      <c r="BE170" s="2">
        <v>-0.59875309467315696</v>
      </c>
      <c r="BF170" s="2">
        <v>-0.82020318508148204</v>
      </c>
      <c r="BG170" s="2">
        <v>-0.809284687042236</v>
      </c>
      <c r="BH170" s="2">
        <v>-0.86937904357910201</v>
      </c>
      <c r="BI170" s="2">
        <v>-1.0751576423645</v>
      </c>
      <c r="BJ170" s="2">
        <v>-1.0070892572403001</v>
      </c>
      <c r="BK170" s="2">
        <v>-1.06761610507965</v>
      </c>
      <c r="BL170" s="2">
        <v>-1.07297027111053</v>
      </c>
      <c r="BM170" s="2">
        <v>-1.0767067670822099</v>
      </c>
      <c r="BN170" s="2">
        <v>-1.05518043041229</v>
      </c>
      <c r="BO170" s="2">
        <v>-1.02469038963318</v>
      </c>
      <c r="BP170" s="2">
        <v>-1.02632343769073</v>
      </c>
    </row>
    <row r="171" spans="1:68">
      <c r="A171" s="2" t="s">
        <v>385</v>
      </c>
      <c r="B171" s="2" t="s">
        <v>386</v>
      </c>
      <c r="C171" s="2" t="s">
        <v>837</v>
      </c>
      <c r="D171" s="2" t="s">
        <v>838</v>
      </c>
      <c r="AO171" s="2">
        <v>-0.503623306751251</v>
      </c>
      <c r="AQ171" s="2">
        <v>-0.45713162422180198</v>
      </c>
      <c r="AS171" s="2">
        <v>-0.40562382340431202</v>
      </c>
      <c r="AU171" s="2">
        <v>-0.486519575119019</v>
      </c>
      <c r="AV171" s="2">
        <v>-0.61672669649124101</v>
      </c>
      <c r="AW171" s="2">
        <v>-0.75793665647506703</v>
      </c>
      <c r="AX171" s="2">
        <v>-0.72518020868301403</v>
      </c>
      <c r="AY171" s="2">
        <v>-0.790643990039825</v>
      </c>
      <c r="AZ171" s="2">
        <v>-0.702090203762054</v>
      </c>
      <c r="BA171" s="2">
        <v>-1.1601519584655799</v>
      </c>
      <c r="BB171" s="2">
        <v>-0.81496560573577903</v>
      </c>
      <c r="BC171" s="2">
        <v>-0.89763885736465499</v>
      </c>
      <c r="BD171" s="2">
        <v>-0.92971873283386197</v>
      </c>
      <c r="BE171" s="2">
        <v>-0.93948143720626798</v>
      </c>
      <c r="BF171" s="2">
        <v>-1.0088036060333301</v>
      </c>
      <c r="BG171" s="2">
        <v>-0.87312364578247104</v>
      </c>
      <c r="BH171" s="2">
        <v>-0.89164817333221402</v>
      </c>
      <c r="BI171" s="2">
        <v>-0.74619007110595703</v>
      </c>
      <c r="BJ171" s="2">
        <v>-0.61808156967163097</v>
      </c>
      <c r="BK171" s="2">
        <v>-0.70743668079376198</v>
      </c>
      <c r="BL171" s="2">
        <v>-0.60845732688903797</v>
      </c>
      <c r="BM171" s="2">
        <v>-0.60392409563064597</v>
      </c>
      <c r="BN171" s="2">
        <v>-0.68713974952697798</v>
      </c>
      <c r="BO171" s="2">
        <v>-0.64643704891204801</v>
      </c>
      <c r="BP171" s="2">
        <v>-0.63913649320602395</v>
      </c>
    </row>
    <row r="172" spans="1:68">
      <c r="A172" s="2" t="s">
        <v>387</v>
      </c>
      <c r="B172" s="2" t="s">
        <v>388</v>
      </c>
      <c r="C172" s="2" t="s">
        <v>837</v>
      </c>
      <c r="D172" s="2" t="s">
        <v>838</v>
      </c>
      <c r="AO172" s="2">
        <v>0.89584606885910001</v>
      </c>
      <c r="AQ172" s="2">
        <v>1.0171523094177199</v>
      </c>
      <c r="AS172" s="2">
        <v>0.944507837295532</v>
      </c>
      <c r="AU172" s="2">
        <v>1.0000807046890301</v>
      </c>
      <c r="AV172" s="2">
        <v>0.92455816268920898</v>
      </c>
      <c r="AW172" s="2">
        <v>0.89970606565475497</v>
      </c>
      <c r="AX172" s="2">
        <v>0.94124299287795998</v>
      </c>
      <c r="AY172" s="2">
        <v>0.83036005496978804</v>
      </c>
      <c r="AZ172" s="2">
        <v>0.85122913122177102</v>
      </c>
      <c r="BA172" s="2">
        <v>0.93841850757598899</v>
      </c>
      <c r="BB172" s="2">
        <v>0.89742708206176802</v>
      </c>
      <c r="BC172" s="2">
        <v>0.88727420568466198</v>
      </c>
      <c r="BD172" s="2">
        <v>0.93530499935150102</v>
      </c>
      <c r="BE172" s="2">
        <v>1.0239561796188399</v>
      </c>
      <c r="BF172" s="2">
        <v>0.96641528606414795</v>
      </c>
      <c r="BG172" s="2">
        <v>0.94884914159774802</v>
      </c>
      <c r="BH172" s="2">
        <v>0.84355252981185902</v>
      </c>
      <c r="BI172" s="2">
        <v>0.68806219100952104</v>
      </c>
      <c r="BJ172" s="2">
        <v>0.67006748914718595</v>
      </c>
      <c r="BK172" s="2">
        <v>0.71027112007141102</v>
      </c>
      <c r="BL172" s="2">
        <v>0.69304436445236195</v>
      </c>
      <c r="BM172" s="2">
        <v>0.88686352968215898</v>
      </c>
      <c r="BN172" s="2">
        <v>0.84269636869430498</v>
      </c>
      <c r="BO172" s="2">
        <v>0.79629224538803101</v>
      </c>
      <c r="BP172" s="2">
        <v>0.80526852607727095</v>
      </c>
    </row>
    <row r="173" spans="1:68">
      <c r="A173" s="2" t="s">
        <v>389</v>
      </c>
      <c r="B173" s="2" t="s">
        <v>390</v>
      </c>
      <c r="C173" s="2" t="s">
        <v>837</v>
      </c>
      <c r="D173" s="2" t="s">
        <v>838</v>
      </c>
      <c r="AO173" s="2">
        <v>-0.376664608716965</v>
      </c>
      <c r="AQ173" s="2">
        <v>-0.42472738027572599</v>
      </c>
      <c r="AS173" s="2">
        <v>-0.52776384353637695</v>
      </c>
      <c r="AU173" s="2">
        <v>-0.39091676473617598</v>
      </c>
      <c r="AV173" s="2">
        <v>-0.18031148612499201</v>
      </c>
      <c r="AW173" s="2">
        <v>-0.13042324781417799</v>
      </c>
      <c r="AX173" s="2">
        <v>-0.123802177608013</v>
      </c>
      <c r="AY173" s="2">
        <v>-0.222235888242722</v>
      </c>
      <c r="AZ173" s="2">
        <v>-0.166308999061584</v>
      </c>
      <c r="BA173" s="2">
        <v>-0.117958433926105</v>
      </c>
      <c r="BB173" s="2">
        <v>-0.117453590035439</v>
      </c>
      <c r="BC173" s="2">
        <v>-0.137619033455849</v>
      </c>
      <c r="BD173" s="2">
        <v>-0.16570861637592299</v>
      </c>
      <c r="BE173" s="2">
        <v>-0.240807324647903</v>
      </c>
      <c r="BF173" s="2">
        <v>-0.162676721811295</v>
      </c>
      <c r="BG173" s="2">
        <v>-0.288955628871918</v>
      </c>
      <c r="BH173" s="2">
        <v>-0.32932847738266002</v>
      </c>
      <c r="BI173" s="2">
        <v>-0.39506682753562899</v>
      </c>
      <c r="BJ173" s="2">
        <v>-0.394054114818573</v>
      </c>
      <c r="BK173" s="2">
        <v>-0.40536564588546797</v>
      </c>
      <c r="BL173" s="2">
        <v>-0.34204965829849199</v>
      </c>
      <c r="BM173" s="2">
        <v>-0.27748027443885798</v>
      </c>
      <c r="BN173" s="2">
        <v>-0.24857236444950101</v>
      </c>
      <c r="BO173" s="2">
        <v>-0.22197334468364699</v>
      </c>
      <c r="BP173" s="2">
        <v>-0.15549550950527199</v>
      </c>
    </row>
    <row r="174" spans="1:68">
      <c r="A174" s="2" t="s">
        <v>391</v>
      </c>
      <c r="B174" s="2" t="s">
        <v>392</v>
      </c>
      <c r="C174" s="2" t="s">
        <v>837</v>
      </c>
      <c r="D174" s="2" t="s">
        <v>838</v>
      </c>
      <c r="AO174" s="2">
        <v>0.52109098434448198</v>
      </c>
      <c r="AQ174" s="2">
        <v>0.28235504031181302</v>
      </c>
      <c r="AS174" s="2">
        <v>0.19534808397293099</v>
      </c>
      <c r="AU174" s="2">
        <v>0.393110811710358</v>
      </c>
      <c r="AV174" s="2">
        <v>0.46607515215873702</v>
      </c>
      <c r="AW174" s="2">
        <v>0.45894026756286599</v>
      </c>
      <c r="AX174" s="2">
        <v>0.433445394039154</v>
      </c>
      <c r="AY174" s="2">
        <v>0.44910982251167297</v>
      </c>
      <c r="AZ174" s="2">
        <v>0.36687648296356201</v>
      </c>
      <c r="BA174" s="2">
        <v>0.247283861041069</v>
      </c>
      <c r="BB174" s="2">
        <v>0.37388545274734503</v>
      </c>
      <c r="BC174" s="2">
        <v>0.39389044046402</v>
      </c>
      <c r="BD174" s="2">
        <v>0.40263152122497597</v>
      </c>
      <c r="BE174" s="2">
        <v>0.37976944446563698</v>
      </c>
      <c r="BF174" s="2">
        <v>0.34133756160736101</v>
      </c>
      <c r="BG174" s="2">
        <v>0.52408975362777699</v>
      </c>
      <c r="BH174" s="2">
        <v>0.40250402688980103</v>
      </c>
      <c r="BI174" s="2">
        <v>0.38787788152694702</v>
      </c>
      <c r="BJ174" s="2">
        <v>0.38821840286254899</v>
      </c>
      <c r="BK174" s="2">
        <v>0.52920615673065197</v>
      </c>
      <c r="BL174" s="2">
        <v>0.49156916141509999</v>
      </c>
      <c r="BM174" s="2">
        <v>0.57311981916427601</v>
      </c>
      <c r="BN174" s="2">
        <v>0.53206580877304099</v>
      </c>
      <c r="BO174" s="2">
        <v>0.56141924858093295</v>
      </c>
      <c r="BP174" s="2">
        <v>0.57191544771194502</v>
      </c>
    </row>
    <row r="175" spans="1:68">
      <c r="A175" s="2" t="s">
        <v>393</v>
      </c>
      <c r="B175" s="2" t="s">
        <v>394</v>
      </c>
      <c r="C175" s="2" t="s">
        <v>837</v>
      </c>
      <c r="D175" s="2" t="s">
        <v>838</v>
      </c>
    </row>
    <row r="176" spans="1:68">
      <c r="A176" s="2" t="s">
        <v>395</v>
      </c>
      <c r="B176" s="2" t="s">
        <v>396</v>
      </c>
      <c r="C176" s="2" t="s">
        <v>837</v>
      </c>
      <c r="D176" s="2" t="s">
        <v>838</v>
      </c>
      <c r="AO176" s="2">
        <v>0.25141227245330799</v>
      </c>
      <c r="AQ176" s="2">
        <v>0.17811638116836501</v>
      </c>
      <c r="AS176" s="2">
        <v>0.12012567371129999</v>
      </c>
      <c r="AU176" s="2">
        <v>0.27902969717979398</v>
      </c>
      <c r="AV176" s="2">
        <v>0.28817564249038702</v>
      </c>
      <c r="AW176" s="2">
        <v>-2.2537266835570301E-2</v>
      </c>
      <c r="AX176" s="2">
        <v>-6.6113971173763303E-2</v>
      </c>
      <c r="AY176" s="2">
        <v>0.19643555581569699</v>
      </c>
      <c r="AZ176" s="2">
        <v>0.16077817976474801</v>
      </c>
      <c r="BA176" s="2">
        <v>0.437859296798706</v>
      </c>
      <c r="BB176" s="2">
        <v>0.25210371613502502</v>
      </c>
      <c r="BC176" s="2">
        <v>0.21417830884456601</v>
      </c>
      <c r="BD176" s="2">
        <v>0.16311411559581801</v>
      </c>
      <c r="BE176" s="2">
        <v>0.30407232046127303</v>
      </c>
      <c r="BF176" s="2">
        <v>0.31908598542213401</v>
      </c>
      <c r="BG176" s="2">
        <v>0.206508874893188</v>
      </c>
      <c r="BH176" s="2">
        <v>0.23758737742900801</v>
      </c>
      <c r="BI176" s="2">
        <v>0.45678591728210399</v>
      </c>
      <c r="BJ176" s="2">
        <v>0.27656388282775901</v>
      </c>
      <c r="BK176" s="2">
        <v>0.32932418584823597</v>
      </c>
      <c r="BL176" s="2">
        <v>0.36168286204338101</v>
      </c>
      <c r="BM176" s="2">
        <v>0.33151495456695601</v>
      </c>
      <c r="BN176" s="2">
        <v>0.33497449755668601</v>
      </c>
      <c r="BO176" s="2">
        <v>0.41492220759391801</v>
      </c>
      <c r="BP176" s="2">
        <v>0.44546759128570601</v>
      </c>
    </row>
    <row r="177" spans="1:68">
      <c r="A177" s="2" t="s">
        <v>397</v>
      </c>
      <c r="B177" s="2" t="s">
        <v>398</v>
      </c>
      <c r="C177" s="2" t="s">
        <v>837</v>
      </c>
      <c r="D177" s="2" t="s">
        <v>838</v>
      </c>
    </row>
    <row r="178" spans="1:68">
      <c r="A178" s="2" t="s">
        <v>399</v>
      </c>
      <c r="B178" s="2" t="s">
        <v>400</v>
      </c>
      <c r="C178" s="2" t="s">
        <v>837</v>
      </c>
      <c r="D178" s="2" t="s">
        <v>838</v>
      </c>
      <c r="AO178" s="2">
        <v>-0.65501439571380604</v>
      </c>
      <c r="AQ178" s="2">
        <v>-0.68350309133529696</v>
      </c>
      <c r="AS178" s="2">
        <v>-0.76544433832168601</v>
      </c>
      <c r="AU178" s="2">
        <v>-0.64682602882385298</v>
      </c>
      <c r="AV178" s="2">
        <v>-0.52245503664016701</v>
      </c>
      <c r="AW178" s="2">
        <v>-0.64945763349533103</v>
      </c>
      <c r="AX178" s="2">
        <v>-0.72139084339141801</v>
      </c>
      <c r="AY178" s="2">
        <v>-0.60157227516174305</v>
      </c>
      <c r="AZ178" s="2">
        <v>-0.61301189661026001</v>
      </c>
      <c r="BA178" s="2">
        <v>-0.680911064147949</v>
      </c>
      <c r="BB178" s="2">
        <v>-0.49185982346534701</v>
      </c>
      <c r="BC178" s="2">
        <v>-0.49916529655456499</v>
      </c>
      <c r="BD178" s="2">
        <v>-0.40769764780998202</v>
      </c>
      <c r="BE178" s="2">
        <v>-0.66396743059158303</v>
      </c>
      <c r="BF178" s="2">
        <v>-0.666362285614014</v>
      </c>
      <c r="BG178" s="2">
        <v>-0.65092307329177901</v>
      </c>
      <c r="BH178" s="2">
        <v>-0.59308481216430697</v>
      </c>
      <c r="BI178" s="2">
        <v>-0.68505817651748702</v>
      </c>
      <c r="BJ178" s="2">
        <v>-0.70461356639862105</v>
      </c>
      <c r="BK178" s="2">
        <v>-0.605221748352051</v>
      </c>
      <c r="BL178" s="2">
        <v>-0.55252581834793102</v>
      </c>
      <c r="BM178" s="2">
        <v>-0.57356190681457497</v>
      </c>
      <c r="BN178" s="2">
        <v>-0.42556235194206199</v>
      </c>
      <c r="BO178" s="2">
        <v>-0.49811726808548001</v>
      </c>
      <c r="BP178" s="2">
        <v>-0.70808869600295998</v>
      </c>
    </row>
    <row r="179" spans="1:68">
      <c r="A179" s="2" t="s">
        <v>401</v>
      </c>
      <c r="B179" s="2" t="s">
        <v>402</v>
      </c>
      <c r="C179" s="2" t="s">
        <v>837</v>
      </c>
      <c r="D179" s="2" t="s">
        <v>838</v>
      </c>
      <c r="AO179" s="2">
        <v>-1.28972291946411</v>
      </c>
      <c r="AQ179" s="2">
        <v>-1.18912124633789</v>
      </c>
      <c r="AS179" s="2">
        <v>-1.1609200239181501</v>
      </c>
      <c r="AU179" s="2">
        <v>-1.4958997964859</v>
      </c>
      <c r="AV179" s="2">
        <v>-1.5125100612640401</v>
      </c>
      <c r="AW179" s="2">
        <v>-1.4396630525589</v>
      </c>
      <c r="AX179" s="2">
        <v>-1.35421597957611</v>
      </c>
      <c r="AY179" s="2">
        <v>-1.07539594173431</v>
      </c>
      <c r="AZ179" s="2">
        <v>-1.06105268001556</v>
      </c>
      <c r="BA179" s="2">
        <v>-1.0383048057556199</v>
      </c>
      <c r="BB179" s="2">
        <v>-1.1561077833175699</v>
      </c>
      <c r="BC179" s="2">
        <v>-1.1588362455368</v>
      </c>
      <c r="BD179" s="2">
        <v>-1.1788387298584</v>
      </c>
      <c r="BE179" s="2">
        <v>-1.1388287544250499</v>
      </c>
      <c r="BF179" s="2">
        <v>-1.1205197572708101</v>
      </c>
      <c r="BG179" s="2">
        <v>-1.05607903003693</v>
      </c>
      <c r="BH179" s="2">
        <v>-0.983265340328217</v>
      </c>
      <c r="BI179" s="2">
        <v>-1.03865242004395</v>
      </c>
      <c r="BJ179" s="2">
        <v>-0.88729989528655995</v>
      </c>
      <c r="BK179" s="2">
        <v>-0.91760575771331798</v>
      </c>
      <c r="BL179" s="2">
        <v>-0.93844193220138505</v>
      </c>
      <c r="BM179" s="2">
        <v>-0.84204208850860596</v>
      </c>
      <c r="BN179" s="2">
        <v>-0.87081259489059404</v>
      </c>
      <c r="BO179" s="2">
        <v>-0.91398507356643699</v>
      </c>
      <c r="BP179" s="2">
        <v>-0.88768929243087802</v>
      </c>
    </row>
    <row r="180" spans="1:68">
      <c r="A180" s="2" t="s">
        <v>403</v>
      </c>
      <c r="B180" s="2" t="s">
        <v>404</v>
      </c>
      <c r="C180" s="2" t="s">
        <v>837</v>
      </c>
      <c r="D180" s="2" t="s">
        <v>838</v>
      </c>
      <c r="AO180" s="2">
        <v>-0.51592683792114302</v>
      </c>
      <c r="AQ180" s="2">
        <v>-0.60509103536605802</v>
      </c>
      <c r="AS180" s="2">
        <v>-0.86279076337814298</v>
      </c>
      <c r="AU180" s="2">
        <v>-0.67763632535934404</v>
      </c>
      <c r="AV180" s="2">
        <v>-0.56024914979934703</v>
      </c>
      <c r="AW180" s="2">
        <v>-0.78853118419647195</v>
      </c>
      <c r="AX180" s="2">
        <v>-0.61466151475906405</v>
      </c>
      <c r="AY180" s="2">
        <v>-0.75204223394393899</v>
      </c>
      <c r="AZ180" s="2">
        <v>-0.78838735818862904</v>
      </c>
      <c r="BA180" s="2">
        <v>-0.80818355083465598</v>
      </c>
      <c r="BB180" s="2">
        <v>-0.78691363334655795</v>
      </c>
      <c r="BC180" s="2">
        <v>-0.83736693859100297</v>
      </c>
      <c r="BD180" s="2">
        <v>-0.72557592391967796</v>
      </c>
      <c r="BE180" s="2">
        <v>-0.73391151428222701</v>
      </c>
      <c r="BF180" s="2">
        <v>-0.67432659864425704</v>
      </c>
      <c r="BG180" s="2">
        <v>-0.71416640281677202</v>
      </c>
      <c r="BH180" s="2">
        <v>-0.75473779439926103</v>
      </c>
      <c r="BI180" s="2">
        <v>-0.65687924623489402</v>
      </c>
      <c r="BJ180" s="2">
        <v>-0.66067022085189797</v>
      </c>
      <c r="BK180" s="2">
        <v>-1.07846295833588</v>
      </c>
      <c r="BL180" s="2">
        <v>-1.2015854120254501</v>
      </c>
      <c r="BM180" s="2">
        <v>-1.1987439393997199</v>
      </c>
      <c r="BN180" s="2">
        <v>-1.3663368225097701</v>
      </c>
      <c r="BO180" s="2">
        <v>-1.3109118938446001</v>
      </c>
      <c r="BP180" s="2">
        <v>-1.27818691730499</v>
      </c>
    </row>
    <row r="181" spans="1:68">
      <c r="A181" s="2" t="s">
        <v>405</v>
      </c>
      <c r="B181" s="2" t="s">
        <v>406</v>
      </c>
      <c r="C181" s="2" t="s">
        <v>837</v>
      </c>
      <c r="D181" s="2" t="s">
        <v>838</v>
      </c>
      <c r="AO181" s="2">
        <v>1.69525694847107</v>
      </c>
      <c r="AQ181" s="2">
        <v>1.7425277233123799</v>
      </c>
      <c r="AS181" s="2">
        <v>1.7445303201675399</v>
      </c>
      <c r="AU181" s="2">
        <v>1.7072594165802</v>
      </c>
      <c r="AV181" s="2">
        <v>1.70947313308716</v>
      </c>
      <c r="AW181" s="2">
        <v>1.73802030086517</v>
      </c>
      <c r="AX181" s="2">
        <v>1.7526228427887001</v>
      </c>
      <c r="AY181" s="2">
        <v>1.7697461843490601</v>
      </c>
      <c r="AZ181" s="2">
        <v>1.76987528800964</v>
      </c>
      <c r="BA181" s="2">
        <v>1.74962913990021</v>
      </c>
      <c r="BB181" s="2">
        <v>1.8070200681686399</v>
      </c>
      <c r="BC181" s="2">
        <v>1.8117320537567101</v>
      </c>
      <c r="BD181" s="2">
        <v>1.81257343292236</v>
      </c>
      <c r="BE181" s="2">
        <v>1.8526817560195901</v>
      </c>
      <c r="BF181" s="2">
        <v>1.8252984285354601</v>
      </c>
      <c r="BG181" s="2">
        <v>1.973428606987</v>
      </c>
      <c r="BH181" s="2">
        <v>1.9068900346755999</v>
      </c>
      <c r="BI181" s="2">
        <v>1.84564888477325</v>
      </c>
      <c r="BJ181" s="2">
        <v>1.75830602645874</v>
      </c>
      <c r="BK181" s="2">
        <v>1.7444651126861599</v>
      </c>
      <c r="BL181" s="2">
        <v>1.7347394227981601</v>
      </c>
      <c r="BM181" s="2">
        <v>1.70633113384247</v>
      </c>
      <c r="BN181" s="2">
        <v>1.6986273527145399</v>
      </c>
      <c r="BO181" s="2">
        <v>1.65676593780518</v>
      </c>
      <c r="BP181" s="2">
        <v>1.6425044536590601</v>
      </c>
    </row>
    <row r="182" spans="1:68">
      <c r="A182" s="2" t="s">
        <v>407</v>
      </c>
      <c r="B182" s="2" t="s">
        <v>408</v>
      </c>
      <c r="C182" s="2" t="s">
        <v>837</v>
      </c>
      <c r="D182" s="2" t="s">
        <v>838</v>
      </c>
      <c r="AO182" s="2">
        <v>1.9233152866363501</v>
      </c>
      <c r="AQ182" s="2">
        <v>1.94982421398163</v>
      </c>
      <c r="AS182" s="2">
        <v>1.8308755159378101</v>
      </c>
      <c r="AU182" s="2">
        <v>1.8487529754638701</v>
      </c>
      <c r="AV182" s="2">
        <v>1.88110423088074</v>
      </c>
      <c r="AW182" s="2">
        <v>1.96196269989014</v>
      </c>
      <c r="AX182" s="2">
        <v>1.91248178482056</v>
      </c>
      <c r="AY182" s="2">
        <v>1.9657721519470199</v>
      </c>
      <c r="AZ182" s="2">
        <v>1.9282920360565201</v>
      </c>
      <c r="BA182" s="2">
        <v>1.95778656005859</v>
      </c>
      <c r="BB182" s="2">
        <v>1.8734991550445601</v>
      </c>
      <c r="BC182" s="2">
        <v>1.88987576961517</v>
      </c>
      <c r="BD182" s="2">
        <v>1.8641780614852901</v>
      </c>
      <c r="BE182" s="2">
        <v>1.9510310888290401</v>
      </c>
      <c r="BF182" s="2">
        <v>1.97096431255341</v>
      </c>
      <c r="BG182" s="2">
        <v>2.0243148803710902</v>
      </c>
      <c r="BH182" s="2">
        <v>1.9752500057220499</v>
      </c>
      <c r="BI182" s="2">
        <v>1.99445748329163</v>
      </c>
      <c r="BJ182" s="2">
        <v>1.98068571090698</v>
      </c>
      <c r="BK182" s="2">
        <v>1.9220771789550799</v>
      </c>
      <c r="BL182" s="2">
        <v>1.9408434629440301</v>
      </c>
      <c r="BM182" s="2">
        <v>1.9299217462539699</v>
      </c>
      <c r="BN182" s="2">
        <v>1.9079183340072601</v>
      </c>
      <c r="BO182" s="2">
        <v>1.76085293292999</v>
      </c>
      <c r="BP182" s="2">
        <v>1.8339815139770499</v>
      </c>
    </row>
    <row r="183" spans="1:68">
      <c r="A183" s="2" t="s">
        <v>409</v>
      </c>
      <c r="B183" s="2" t="s">
        <v>410</v>
      </c>
      <c r="C183" s="2" t="s">
        <v>837</v>
      </c>
      <c r="D183" s="2" t="s">
        <v>838</v>
      </c>
      <c r="AO183" s="2">
        <v>-6.1752605251967898E-3</v>
      </c>
      <c r="AQ183" s="2">
        <v>9.2212380841374397E-3</v>
      </c>
      <c r="AS183" s="2">
        <v>-0.21096165478229501</v>
      </c>
      <c r="AU183" s="2">
        <v>-0.51751136779785201</v>
      </c>
      <c r="AV183" s="2">
        <v>-0.61063081026077304</v>
      </c>
      <c r="AW183" s="2">
        <v>-0.75303584337234497</v>
      </c>
      <c r="AX183" s="2">
        <v>-0.82521617412567105</v>
      </c>
      <c r="AY183" s="2">
        <v>-0.62139087915420499</v>
      </c>
      <c r="AZ183" s="2">
        <v>-0.58880382776260398</v>
      </c>
      <c r="BA183" s="2">
        <v>-0.66930633783340499</v>
      </c>
      <c r="BB183" s="2">
        <v>-0.86781746149063099</v>
      </c>
      <c r="BC183" s="2">
        <v>-0.95906680822372403</v>
      </c>
      <c r="BD183" s="2">
        <v>-0.89161092042922996</v>
      </c>
      <c r="BE183" s="2">
        <v>-0.73735928535461404</v>
      </c>
      <c r="BF183" s="2">
        <v>-0.71927064657211304</v>
      </c>
      <c r="BG183" s="2">
        <v>-0.64944934844970703</v>
      </c>
      <c r="BH183" s="2">
        <v>-0.69381314516067505</v>
      </c>
      <c r="BI183" s="2">
        <v>-0.81232476234436002</v>
      </c>
      <c r="BJ183" s="2">
        <v>-0.69452220201492298</v>
      </c>
      <c r="BK183" s="2">
        <v>-0.49145248532295199</v>
      </c>
      <c r="BL183" s="2">
        <v>-0.55387139320373502</v>
      </c>
      <c r="BM183" s="2">
        <v>-0.51348656415939298</v>
      </c>
      <c r="BN183" s="2">
        <v>-0.488838762044907</v>
      </c>
      <c r="BO183" s="2">
        <v>-0.44820371270179699</v>
      </c>
      <c r="BP183" s="2">
        <v>-0.46266946196556102</v>
      </c>
    </row>
    <row r="184" spans="1:68">
      <c r="A184" s="2" t="s">
        <v>411</v>
      </c>
      <c r="B184" s="2" t="s">
        <v>412</v>
      </c>
      <c r="C184" s="2" t="s">
        <v>837</v>
      </c>
      <c r="D184" s="2" t="s">
        <v>838</v>
      </c>
      <c r="AO184" s="2">
        <v>0.80914056301116899</v>
      </c>
      <c r="AQ184" s="2">
        <v>0.87650817632675204</v>
      </c>
      <c r="AS184" s="2">
        <v>0.83971226215362504</v>
      </c>
      <c r="AU184" s="2">
        <v>0.83394581079482999</v>
      </c>
      <c r="AV184" s="2">
        <v>0.83328413963317904</v>
      </c>
      <c r="AW184" s="2">
        <v>0.82633042335510298</v>
      </c>
      <c r="AX184" s="2">
        <v>0.776517033576965</v>
      </c>
      <c r="AY184" s="2">
        <v>0.98430705070495605</v>
      </c>
      <c r="AZ184" s="2">
        <v>0.50260853767394997</v>
      </c>
      <c r="BA184" s="2">
        <v>0.36503848433494601</v>
      </c>
      <c r="BB184" s="2">
        <v>0.473168194293976</v>
      </c>
      <c r="BC184" s="2">
        <v>0.45872616767883301</v>
      </c>
      <c r="BD184" s="2">
        <v>0.55581867694854703</v>
      </c>
      <c r="BE184" s="2">
        <v>0.72692596912384</v>
      </c>
      <c r="BF184" s="2">
        <v>0.61524987220764205</v>
      </c>
      <c r="BG184" s="2">
        <v>-1.00783932209015</v>
      </c>
      <c r="BH184" s="2">
        <v>-0.60279619693756104</v>
      </c>
      <c r="BI184" s="2">
        <v>-0.55093306303024303</v>
      </c>
      <c r="BJ184" s="2">
        <v>-6.6744357347488403E-2</v>
      </c>
      <c r="BK184" s="2">
        <v>-6.3043557107448606E-2</v>
      </c>
      <c r="BL184" s="2">
        <v>-0.13643828034400901</v>
      </c>
      <c r="BM184" s="2">
        <v>-0.103717803955078</v>
      </c>
      <c r="BN184" s="2">
        <v>-7.4098750948905903E-2</v>
      </c>
      <c r="BO184" s="2">
        <v>-2.3393005132675199E-2</v>
      </c>
      <c r="BP184" s="2">
        <v>-1.8410900607705099E-2</v>
      </c>
    </row>
    <row r="185" spans="1:68">
      <c r="A185" s="2" t="s">
        <v>413</v>
      </c>
      <c r="B185" s="2" t="s">
        <v>414</v>
      </c>
      <c r="C185" s="2" t="s">
        <v>837</v>
      </c>
      <c r="D185" s="2" t="s">
        <v>838</v>
      </c>
      <c r="AO185" s="2">
        <v>1.85839378833771</v>
      </c>
      <c r="AQ185" s="2">
        <v>1.8504991531372099</v>
      </c>
      <c r="AS185" s="2">
        <v>1.7954139709472701</v>
      </c>
      <c r="AU185" s="2">
        <v>1.7911511659622199</v>
      </c>
      <c r="AV185" s="2">
        <v>1.8483295440673799</v>
      </c>
      <c r="AW185" s="2">
        <v>1.8488308191299401</v>
      </c>
      <c r="AX185" s="2">
        <v>1.8463984727859499</v>
      </c>
      <c r="AY185" s="2">
        <v>1.7947908639907799</v>
      </c>
      <c r="AZ185" s="2">
        <v>1.82681655883789</v>
      </c>
      <c r="BA185" s="2">
        <v>1.8506597280502299</v>
      </c>
      <c r="BB185" s="2">
        <v>1.92267489433289</v>
      </c>
      <c r="BC185" s="2">
        <v>1.86188757419586</v>
      </c>
      <c r="BD185" s="2">
        <v>1.89464735984802</v>
      </c>
      <c r="BE185" s="2">
        <v>1.8832100629806501</v>
      </c>
      <c r="BF185" s="2">
        <v>1.8701353073120099</v>
      </c>
      <c r="BG185" s="2">
        <v>2.0040447711944598</v>
      </c>
      <c r="BH185" s="2">
        <v>1.9653397798538199</v>
      </c>
      <c r="BI185" s="2">
        <v>1.9136335849762001</v>
      </c>
      <c r="BJ185" s="2">
        <v>1.8844755887985201</v>
      </c>
      <c r="BK185" s="2">
        <v>1.83380126953125</v>
      </c>
      <c r="BL185" s="2">
        <v>1.84377896785736</v>
      </c>
      <c r="BM185" s="2">
        <v>1.8383927345275901</v>
      </c>
      <c r="BN185" s="2">
        <v>1.78116655349731</v>
      </c>
      <c r="BO185" s="2">
        <v>1.73037374019623</v>
      </c>
      <c r="BP185" s="2">
        <v>1.7057080268859901</v>
      </c>
    </row>
    <row r="186" spans="1:68">
      <c r="A186" s="2" t="s">
        <v>415</v>
      </c>
      <c r="B186" s="2" t="s">
        <v>416</v>
      </c>
      <c r="C186" s="2" t="s">
        <v>837</v>
      </c>
      <c r="D186" s="2" t="s">
        <v>838</v>
      </c>
    </row>
    <row r="187" spans="1:68">
      <c r="A187" s="2" t="s">
        <v>417</v>
      </c>
      <c r="B187" s="2" t="s">
        <v>418</v>
      </c>
      <c r="C187" s="2" t="s">
        <v>837</v>
      </c>
      <c r="D187" s="2" t="s">
        <v>838</v>
      </c>
      <c r="AO187" s="2">
        <v>0.550159752368927</v>
      </c>
      <c r="AQ187" s="2">
        <v>0.42397210001945501</v>
      </c>
      <c r="AS187" s="2">
        <v>0.53788930177688599</v>
      </c>
      <c r="AU187" s="2">
        <v>0.45058482885360701</v>
      </c>
      <c r="AV187" s="2">
        <v>0.46612486243248002</v>
      </c>
      <c r="AW187" s="2">
        <v>0.51106745004653897</v>
      </c>
      <c r="AX187" s="2">
        <v>0.30626255273818997</v>
      </c>
      <c r="AY187" s="2">
        <v>0.286412954330444</v>
      </c>
      <c r="AZ187" s="2">
        <v>0.40149456262588501</v>
      </c>
      <c r="BA187" s="2">
        <v>0.58611142635345503</v>
      </c>
      <c r="BB187" s="2">
        <v>0.54942518472671498</v>
      </c>
      <c r="BC187" s="2">
        <v>0.536823689937592</v>
      </c>
      <c r="BD187" s="2">
        <v>0.461840659379959</v>
      </c>
      <c r="BE187" s="2">
        <v>0.51884341239929199</v>
      </c>
      <c r="BF187" s="2">
        <v>0.48713025450706499</v>
      </c>
      <c r="BG187" s="2">
        <v>0.48536750674247697</v>
      </c>
      <c r="BH187" s="2">
        <v>0.35258975625038103</v>
      </c>
      <c r="BI187" s="2">
        <v>0.38340085744857799</v>
      </c>
      <c r="BJ187" s="2">
        <v>0.40771517157554599</v>
      </c>
      <c r="BK187" s="2">
        <v>0.43680757284164401</v>
      </c>
      <c r="BL187" s="2">
        <v>0.52770882844924905</v>
      </c>
      <c r="BM187" s="2">
        <v>0.59338563680648804</v>
      </c>
      <c r="BN187" s="2">
        <v>0.38286867737770103</v>
      </c>
      <c r="BO187" s="2">
        <v>0.49886080622673001</v>
      </c>
      <c r="BP187" s="2">
        <v>0.61281210184097301</v>
      </c>
    </row>
    <row r="188" spans="1:68">
      <c r="A188" s="2" t="s">
        <v>419</v>
      </c>
      <c r="B188" s="2" t="s">
        <v>420</v>
      </c>
      <c r="C188" s="2" t="s">
        <v>837</v>
      </c>
      <c r="D188" s="2" t="s">
        <v>838</v>
      </c>
    </row>
    <row r="189" spans="1:68">
      <c r="A189" s="2" t="s">
        <v>421</v>
      </c>
      <c r="B189" s="2" t="s">
        <v>422</v>
      </c>
      <c r="C189" s="2" t="s">
        <v>837</v>
      </c>
      <c r="D189" s="2" t="s">
        <v>838</v>
      </c>
      <c r="AO189" s="2">
        <v>-0.62528961896896396</v>
      </c>
      <c r="AQ189" s="2">
        <v>-0.79333829879760698</v>
      </c>
      <c r="AS189" s="2">
        <v>-1.00038921833038</v>
      </c>
      <c r="AU189" s="2">
        <v>-0.93163740634918202</v>
      </c>
      <c r="AV189" s="2">
        <v>-0.92062461376190197</v>
      </c>
      <c r="AW189" s="2">
        <v>-0.99444937705993697</v>
      </c>
      <c r="AX189" s="2">
        <v>-0.89032143354415905</v>
      </c>
      <c r="AY189" s="2">
        <v>-0.85724753141403198</v>
      </c>
      <c r="AZ189" s="2">
        <v>-0.88754463195800803</v>
      </c>
      <c r="BA189" s="2">
        <v>-0.97261369228363004</v>
      </c>
      <c r="BB189" s="2">
        <v>-0.83897721767425504</v>
      </c>
      <c r="BC189" s="2">
        <v>-0.73780554533004805</v>
      </c>
      <c r="BD189" s="2">
        <v>-0.90662819147109996</v>
      </c>
      <c r="BE189" s="2">
        <v>-0.883420169353485</v>
      </c>
      <c r="BF189" s="2">
        <v>-0.85618662834167503</v>
      </c>
      <c r="BG189" s="2">
        <v>-0.75113564729690596</v>
      </c>
      <c r="BH189" s="2">
        <v>-0.77700495719909701</v>
      </c>
      <c r="BI189" s="2">
        <v>-0.81552016735076904</v>
      </c>
      <c r="BJ189" s="2">
        <v>-0.73169410228729204</v>
      </c>
      <c r="BK189" s="2">
        <v>-0.68364995718002297</v>
      </c>
      <c r="BL189" s="2">
        <v>-0.68840104341507002</v>
      </c>
      <c r="BM189" s="2">
        <v>-0.71293848752975497</v>
      </c>
      <c r="BN189" s="2">
        <v>-0.65862065553665206</v>
      </c>
      <c r="BO189" s="2">
        <v>-0.672116339206696</v>
      </c>
      <c r="BP189" s="2">
        <v>-0.859885513782501</v>
      </c>
    </row>
    <row r="190" spans="1:68">
      <c r="A190" s="2" t="s">
        <v>423</v>
      </c>
      <c r="B190" s="2" t="s">
        <v>424</v>
      </c>
      <c r="C190" s="2" t="s">
        <v>837</v>
      </c>
      <c r="D190" s="2" t="s">
        <v>838</v>
      </c>
      <c r="AO190" s="2">
        <v>-0.16697995364665999</v>
      </c>
      <c r="AQ190" s="2">
        <v>-0.130363434553146</v>
      </c>
      <c r="AS190" s="2">
        <v>-0.18765860795974701</v>
      </c>
      <c r="AU190" s="2">
        <v>-8.8336840271949796E-2</v>
      </c>
      <c r="AV190" s="2">
        <v>-0.140504896640778</v>
      </c>
      <c r="AW190" s="2">
        <v>-0.107689194381237</v>
      </c>
      <c r="AX190" s="2">
        <v>-0.101316899061203</v>
      </c>
      <c r="AY190" s="2">
        <v>-0.15525296330451999</v>
      </c>
      <c r="AZ190" s="2">
        <v>-0.17409847676754001</v>
      </c>
      <c r="BA190" s="2">
        <v>-0.20397990942001301</v>
      </c>
      <c r="BB190" s="2">
        <v>-9.7268506884574904E-2</v>
      </c>
      <c r="BC190" s="2">
        <v>-8.0293066799640697E-2</v>
      </c>
      <c r="BD190" s="2">
        <v>2.5878649204969399E-2</v>
      </c>
      <c r="BE190" s="2">
        <v>-0.22208389639854401</v>
      </c>
      <c r="BF190" s="2">
        <v>-0.25341442227363598</v>
      </c>
      <c r="BG190" s="2">
        <v>-6.4679838716983795E-2</v>
      </c>
      <c r="BH190" s="2">
        <v>-0.14097762107849099</v>
      </c>
      <c r="BI190" s="2">
        <v>3.3683963119983701E-2</v>
      </c>
      <c r="BJ190" s="2">
        <v>7.5527080334722996E-3</v>
      </c>
      <c r="BK190" s="2">
        <v>-0.159112378954887</v>
      </c>
      <c r="BL190" s="2">
        <v>-0.19189891219139099</v>
      </c>
      <c r="BM190" s="2">
        <v>-0.284955024719238</v>
      </c>
      <c r="BN190" s="2">
        <v>-0.26938578486442599</v>
      </c>
      <c r="BO190" s="2">
        <v>-0.35985156893730202</v>
      </c>
      <c r="BP190" s="2">
        <v>-0.34598121047019997</v>
      </c>
    </row>
    <row r="191" spans="1:68">
      <c r="A191" s="2" t="s">
        <v>425</v>
      </c>
      <c r="B191" s="2" t="s">
        <v>426</v>
      </c>
      <c r="C191" s="2" t="s">
        <v>837</v>
      </c>
      <c r="D191" s="2" t="s">
        <v>838</v>
      </c>
      <c r="AO191" s="2">
        <v>-0.696724593639374</v>
      </c>
      <c r="AQ191" s="2">
        <v>-0.73863768577575695</v>
      </c>
      <c r="AS191" s="2">
        <v>-0.71804672479629505</v>
      </c>
      <c r="AU191" s="2">
        <v>-0.55792206525802601</v>
      </c>
      <c r="AV191" s="2">
        <v>-0.58865690231323198</v>
      </c>
      <c r="AW191" s="2">
        <v>-0.54542207717895497</v>
      </c>
      <c r="AX191" s="2">
        <v>-0.70078790187835704</v>
      </c>
      <c r="AY191" s="2">
        <v>-0.70465487241744995</v>
      </c>
      <c r="AZ191" s="2">
        <v>-0.75162613391876198</v>
      </c>
      <c r="BA191" s="2">
        <v>-0.730335593223572</v>
      </c>
      <c r="BB191" s="2">
        <v>-0.62426680326461803</v>
      </c>
      <c r="BC191" s="2">
        <v>-0.56609952449798595</v>
      </c>
      <c r="BD191" s="2">
        <v>-0.58082568645477295</v>
      </c>
      <c r="BE191" s="2">
        <v>-0.58197021484375</v>
      </c>
      <c r="BF191" s="2">
        <v>-0.57441961765289296</v>
      </c>
      <c r="BG191" s="2">
        <v>-0.52255260944366499</v>
      </c>
      <c r="BH191" s="2">
        <v>-0.49964961409568798</v>
      </c>
      <c r="BI191" s="2">
        <v>-0.49603629112243702</v>
      </c>
      <c r="BJ191" s="2">
        <v>-0.52328157424926802</v>
      </c>
      <c r="BK191" s="2">
        <v>-0.56674337387085005</v>
      </c>
      <c r="BL191" s="2">
        <v>-0.52005803585052501</v>
      </c>
      <c r="BM191" s="2">
        <v>-0.38284352421760598</v>
      </c>
      <c r="BN191" s="2">
        <v>-0.53251469135284402</v>
      </c>
      <c r="BO191" s="2">
        <v>-0.552831411361694</v>
      </c>
      <c r="BP191" s="2">
        <v>-0.53813266754150402</v>
      </c>
    </row>
    <row r="192" spans="1:68">
      <c r="A192" s="2" t="s">
        <v>427</v>
      </c>
      <c r="B192" s="2" t="s">
        <v>428</v>
      </c>
      <c r="C192" s="2" t="s">
        <v>837</v>
      </c>
      <c r="D192" s="2" t="s">
        <v>838</v>
      </c>
      <c r="AO192" s="2">
        <v>7.4511446058750194E-2</v>
      </c>
      <c r="AQ192" s="2">
        <v>2.7259612455964099E-2</v>
      </c>
      <c r="AS192" s="2">
        <v>-0.38852921128272999</v>
      </c>
      <c r="AU192" s="2">
        <v>-0.38654315471649198</v>
      </c>
      <c r="AV192" s="2">
        <v>-0.55038523674011197</v>
      </c>
      <c r="AW192" s="2">
        <v>-0.62895226478576705</v>
      </c>
      <c r="AX192" s="2">
        <v>-0.33354502916336098</v>
      </c>
      <c r="AY192" s="2">
        <v>-0.40689337253570601</v>
      </c>
      <c r="AZ192" s="2">
        <v>-0.46309170126915</v>
      </c>
      <c r="BA192" s="2">
        <v>-0.55022186040878296</v>
      </c>
      <c r="BB192" s="2">
        <v>-0.57499730587005604</v>
      </c>
      <c r="BC192" s="2">
        <v>-0.55379360914230302</v>
      </c>
      <c r="BD192" s="2">
        <v>-0.506389260292053</v>
      </c>
      <c r="BE192" s="2">
        <v>-0.52241027355194103</v>
      </c>
      <c r="BF192" s="2">
        <v>-0.46900564432144198</v>
      </c>
      <c r="BG192" s="2">
        <v>-0.36952292919158902</v>
      </c>
      <c r="BH192" s="2">
        <v>-0.41736829280853299</v>
      </c>
      <c r="BI192" s="2">
        <v>-0.43153634667396501</v>
      </c>
      <c r="BJ192" s="2">
        <v>-0.50128948688507102</v>
      </c>
      <c r="BK192" s="2">
        <v>-0.565135478973389</v>
      </c>
      <c r="BL192" s="2">
        <v>-0.57440197467803999</v>
      </c>
      <c r="BM192" s="2">
        <v>-0.65207010507583596</v>
      </c>
      <c r="BN192" s="2">
        <v>-0.66680258512496904</v>
      </c>
      <c r="BO192" s="2">
        <v>-0.51826316118240401</v>
      </c>
      <c r="BP192" s="2">
        <v>-0.41814711689949002</v>
      </c>
    </row>
    <row r="193" spans="1:68">
      <c r="A193" s="2" t="s">
        <v>429</v>
      </c>
      <c r="B193" s="2" t="s">
        <v>430</v>
      </c>
      <c r="C193" s="2" t="s">
        <v>837</v>
      </c>
      <c r="D193" s="2" t="s">
        <v>838</v>
      </c>
      <c r="AO193" s="2">
        <v>0.80914056301116899</v>
      </c>
      <c r="AQ193" s="2">
        <v>0.87650817632675204</v>
      </c>
      <c r="AS193" s="2">
        <v>0.83971226215362504</v>
      </c>
      <c r="AU193" s="2">
        <v>0.83394581079482999</v>
      </c>
      <c r="AV193" s="2">
        <v>0.83328413963317904</v>
      </c>
      <c r="AW193" s="2">
        <v>0.82633042335510298</v>
      </c>
      <c r="AX193" s="2">
        <v>0.776517033576965</v>
      </c>
      <c r="AY193" s="2">
        <v>0.98430705070495605</v>
      </c>
      <c r="AZ193" s="2">
        <v>0.87686491012573198</v>
      </c>
      <c r="BA193" s="2">
        <v>0.77113288640975997</v>
      </c>
      <c r="BB193" s="2">
        <v>0.80525559186935403</v>
      </c>
      <c r="BC193" s="2">
        <v>0.74797523021697998</v>
      </c>
      <c r="BD193" s="2">
        <v>0.88774156570434604</v>
      </c>
      <c r="BE193" s="2">
        <v>0.89805865287780795</v>
      </c>
      <c r="BF193" s="2">
        <v>0.897094666957855</v>
      </c>
      <c r="BG193" s="2">
        <v>0.275344848632812</v>
      </c>
      <c r="BH193" s="2">
        <v>0.91764003038406405</v>
      </c>
      <c r="BI193" s="2">
        <v>0.93259334564208995</v>
      </c>
      <c r="BJ193" s="2">
        <v>0.95571166276931796</v>
      </c>
      <c r="BK193" s="2">
        <v>1.0016345977783201</v>
      </c>
      <c r="BL193" s="2">
        <v>0.78269094228744496</v>
      </c>
      <c r="BM193" s="2">
        <v>0.68501281738281194</v>
      </c>
      <c r="BN193" s="2">
        <v>0.71485942602157604</v>
      </c>
      <c r="BO193" s="2">
        <v>0.95289915800094604</v>
      </c>
      <c r="BP193" s="2">
        <v>0.93546777963638295</v>
      </c>
    </row>
    <row r="194" spans="1:68">
      <c r="A194" s="2" t="s">
        <v>431</v>
      </c>
      <c r="B194" s="2" t="s">
        <v>432</v>
      </c>
      <c r="C194" s="2" t="s">
        <v>837</v>
      </c>
      <c r="D194" s="2" t="s">
        <v>838</v>
      </c>
      <c r="AO194" s="2">
        <v>-0.61693763732910201</v>
      </c>
      <c r="AQ194" s="2">
        <v>-0.51838195323944103</v>
      </c>
      <c r="AS194" s="2">
        <v>-0.75883752107620195</v>
      </c>
      <c r="AU194" s="2">
        <v>-0.74716949462890603</v>
      </c>
      <c r="AV194" s="2">
        <v>-0.94525390863418601</v>
      </c>
      <c r="AW194" s="2">
        <v>-0.76271939277648904</v>
      </c>
      <c r="AX194" s="2">
        <v>-1.01297163963318</v>
      </c>
      <c r="AY194" s="2">
        <v>-0.83469629287719704</v>
      </c>
      <c r="AZ194" s="2">
        <v>-0.86148184537887595</v>
      </c>
      <c r="BA194" s="2">
        <v>-0.91623520851135298</v>
      </c>
      <c r="BB194" s="2">
        <v>-0.91205835342407204</v>
      </c>
      <c r="BC194" s="2">
        <v>-0.93251121044158902</v>
      </c>
      <c r="BD194" s="2">
        <v>-0.81060057878494296</v>
      </c>
      <c r="BE194" s="2">
        <v>-0.83259594440460205</v>
      </c>
      <c r="BF194" s="2">
        <v>-0.94221514463424705</v>
      </c>
      <c r="BG194" s="2">
        <v>-0.77444064617157005</v>
      </c>
      <c r="BH194" s="2">
        <v>-0.86898636817932096</v>
      </c>
      <c r="BI194" s="2">
        <v>-0.78005808591842696</v>
      </c>
      <c r="BJ194" s="2">
        <v>-0.81737065315246604</v>
      </c>
      <c r="BK194" s="2">
        <v>-0.76483404636383101</v>
      </c>
      <c r="BL194" s="2">
        <v>-0.79995483160018899</v>
      </c>
      <c r="BM194" s="2">
        <v>-0.70991843938827504</v>
      </c>
      <c r="BN194" s="2">
        <v>-0.75168806314468395</v>
      </c>
      <c r="BO194" s="2">
        <v>-0.61598771810531605</v>
      </c>
      <c r="BP194" s="2">
        <v>-0.53980559110641502</v>
      </c>
    </row>
    <row r="195" spans="1:68">
      <c r="A195" s="2" t="s">
        <v>433</v>
      </c>
      <c r="B195" s="2" t="s">
        <v>434</v>
      </c>
      <c r="C195" s="2" t="s">
        <v>837</v>
      </c>
      <c r="D195" s="2" t="s">
        <v>838</v>
      </c>
      <c r="AO195" s="2">
        <v>0.76749503612518299</v>
      </c>
      <c r="AQ195" s="2">
        <v>0.79876792430877697</v>
      </c>
      <c r="AS195" s="2">
        <v>0.63331311941146895</v>
      </c>
      <c r="AU195" s="2">
        <v>0.67043620347976696</v>
      </c>
      <c r="AV195" s="2">
        <v>0.51029121875762895</v>
      </c>
      <c r="AW195" s="2">
        <v>0.41630694270134</v>
      </c>
      <c r="AX195" s="2">
        <v>0.470091372728348</v>
      </c>
      <c r="AY195" s="2">
        <v>0.38276162743568398</v>
      </c>
      <c r="AZ195" s="2">
        <v>0.40907227993011502</v>
      </c>
      <c r="BA195" s="2">
        <v>0.55062216520309404</v>
      </c>
      <c r="BB195" s="2">
        <v>0.64584678411483798</v>
      </c>
      <c r="BC195" s="2">
        <v>0.71235901117324796</v>
      </c>
      <c r="BD195" s="2">
        <v>0.79490870237350497</v>
      </c>
      <c r="BE195" s="2">
        <v>0.81786853075027499</v>
      </c>
      <c r="BF195" s="2">
        <v>0.83954483270645097</v>
      </c>
      <c r="BG195" s="2">
        <v>0.87160587310791005</v>
      </c>
      <c r="BH195" s="2">
        <v>0.80359464883804299</v>
      </c>
      <c r="BI195" s="2">
        <v>0.59382414817810103</v>
      </c>
      <c r="BJ195" s="2">
        <v>0.40089505910873402</v>
      </c>
      <c r="BK195" s="2">
        <v>0.37692937254905701</v>
      </c>
      <c r="BL195" s="2">
        <v>0.39124181866645802</v>
      </c>
      <c r="BM195" s="2">
        <v>0.52474939823150601</v>
      </c>
      <c r="BN195" s="2">
        <v>0.42556920647621199</v>
      </c>
      <c r="BO195" s="2">
        <v>0.42813479900360102</v>
      </c>
      <c r="BP195" s="2">
        <v>0.45874124765396102</v>
      </c>
    </row>
    <row r="196" spans="1:68">
      <c r="A196" s="2" t="s">
        <v>435</v>
      </c>
      <c r="B196" s="2" t="s">
        <v>436</v>
      </c>
      <c r="C196" s="2" t="s">
        <v>837</v>
      </c>
      <c r="D196" s="2" t="s">
        <v>838</v>
      </c>
    </row>
    <row r="197" spans="1:68">
      <c r="A197" s="2" t="s">
        <v>437</v>
      </c>
      <c r="B197" s="2" t="s">
        <v>438</v>
      </c>
      <c r="C197" s="2" t="s">
        <v>837</v>
      </c>
      <c r="D197" s="2" t="s">
        <v>838</v>
      </c>
      <c r="AO197" s="2">
        <v>0.96063441038131703</v>
      </c>
      <c r="AQ197" s="2">
        <v>0.95708358287811302</v>
      </c>
      <c r="AS197" s="2">
        <v>0.970597624778748</v>
      </c>
      <c r="AU197" s="2">
        <v>0.948852479457855</v>
      </c>
      <c r="AV197" s="2">
        <v>0.70326060056686401</v>
      </c>
      <c r="AW197" s="2">
        <v>0.78897613286972001</v>
      </c>
      <c r="AX197" s="2">
        <v>0.58546149730682395</v>
      </c>
      <c r="AY197" s="2">
        <v>0.51868993043899503</v>
      </c>
      <c r="AZ197" s="2">
        <v>0.57574880123138406</v>
      </c>
      <c r="BA197" s="2">
        <v>0.53743278980255105</v>
      </c>
      <c r="BB197" s="2">
        <v>0.761055648326874</v>
      </c>
      <c r="BC197" s="2">
        <v>0.76090323925018299</v>
      </c>
      <c r="BD197" s="2">
        <v>0.72652864456176802</v>
      </c>
      <c r="BE197" s="2">
        <v>0.79311358928680398</v>
      </c>
      <c r="BF197" s="2">
        <v>0.66773742437362704</v>
      </c>
      <c r="BG197" s="2">
        <v>0.76602840423583995</v>
      </c>
      <c r="BH197" s="2">
        <v>0.71679794788360596</v>
      </c>
      <c r="BI197" s="2">
        <v>0.62927180528640703</v>
      </c>
      <c r="BJ197" s="2">
        <v>0.59424334764480602</v>
      </c>
      <c r="BK197" s="2">
        <v>0.55661046504974399</v>
      </c>
      <c r="BL197" s="2">
        <v>0.55881583690643299</v>
      </c>
      <c r="BM197" s="2">
        <v>0.60516059398651101</v>
      </c>
      <c r="BN197" s="2">
        <v>0.57452189922332797</v>
      </c>
      <c r="BO197" s="2">
        <v>0.53102660179138195</v>
      </c>
      <c r="BP197" s="2">
        <v>0.49352827668190002</v>
      </c>
    </row>
    <row r="198" spans="1:68">
      <c r="A198" s="2" t="s">
        <v>439</v>
      </c>
      <c r="B198" s="2" t="s">
        <v>440</v>
      </c>
      <c r="C198" s="2" t="s">
        <v>837</v>
      </c>
      <c r="D198" s="2" t="s">
        <v>838</v>
      </c>
      <c r="AO198" s="2">
        <v>-1.1540601253509499</v>
      </c>
      <c r="AQ198" s="2">
        <v>-1.1531960964202901</v>
      </c>
      <c r="AS198" s="2">
        <v>-1.06633913516998</v>
      </c>
      <c r="AU198" s="2">
        <v>-1.3152160644531199</v>
      </c>
      <c r="AV198" s="2">
        <v>-1.1672341823577901</v>
      </c>
      <c r="AW198" s="2">
        <v>-1.2753829956054701</v>
      </c>
      <c r="AX198" s="2">
        <v>-1.1415873765945399</v>
      </c>
      <c r="AY198" s="2">
        <v>-1.39341068267822</v>
      </c>
      <c r="AZ198" s="2">
        <v>-1.26028740406036</v>
      </c>
      <c r="BA198" s="2">
        <v>-1.23535180091858</v>
      </c>
      <c r="BB198" s="2">
        <v>-1.3440237045288099</v>
      </c>
      <c r="BC198" s="2">
        <v>-1.38278949260712</v>
      </c>
      <c r="BD198" s="2">
        <v>-1.38583624362946</v>
      </c>
      <c r="BE198" s="2">
        <v>-1.3540298938751201</v>
      </c>
      <c r="BF198" s="2">
        <v>-1.3820377588272099</v>
      </c>
      <c r="BG198" s="2">
        <v>-1.6195886135101301</v>
      </c>
      <c r="BH198" s="2">
        <v>-1.6563892364502</v>
      </c>
      <c r="BI198" s="2">
        <v>-1.6745699644088701</v>
      </c>
      <c r="BJ198" s="2">
        <v>-1.7232748270034799</v>
      </c>
      <c r="BK198" s="2">
        <v>-1.6429296731948899</v>
      </c>
      <c r="BL198" s="2">
        <v>-1.6609129905700699</v>
      </c>
      <c r="BM198" s="2">
        <v>-1.6077957153320299</v>
      </c>
      <c r="BN198" s="2">
        <v>-1.6355756521225</v>
      </c>
      <c r="BO198" s="2">
        <v>-1.66243231296539</v>
      </c>
      <c r="BP198" s="2">
        <v>-1.6428683996200599</v>
      </c>
    </row>
    <row r="199" spans="1:68">
      <c r="A199" s="2" t="s">
        <v>441</v>
      </c>
      <c r="B199" s="2" t="s">
        <v>442</v>
      </c>
      <c r="C199" s="2" t="s">
        <v>837</v>
      </c>
      <c r="D199" s="2" t="s">
        <v>838</v>
      </c>
      <c r="AO199" s="2">
        <v>1.2862948179245</v>
      </c>
      <c r="AQ199" s="2">
        <v>1.2426400184631301</v>
      </c>
      <c r="AS199" s="2">
        <v>1.2001929283142101</v>
      </c>
      <c r="AU199" s="2">
        <v>1.3075140714645399</v>
      </c>
      <c r="AV199" s="2">
        <v>1.2762525081634499</v>
      </c>
      <c r="AW199" s="2">
        <v>1.2330514192581199</v>
      </c>
      <c r="AX199" s="2">
        <v>1.22431552410126</v>
      </c>
      <c r="AY199" s="2">
        <v>0.97526746988296498</v>
      </c>
      <c r="AZ199" s="2">
        <v>1.00311207771301</v>
      </c>
      <c r="BA199" s="2">
        <v>1.0112444162368801</v>
      </c>
      <c r="BB199" s="2">
        <v>1.0584132671356199</v>
      </c>
      <c r="BC199" s="2">
        <v>1.02578413486481</v>
      </c>
      <c r="BD199" s="2">
        <v>0.99639391899108898</v>
      </c>
      <c r="BE199" s="2">
        <v>1.0361119508743299</v>
      </c>
      <c r="BF199" s="2">
        <v>1.03864598274231</v>
      </c>
      <c r="BG199" s="2">
        <v>1.1194648742675799</v>
      </c>
      <c r="BH199" s="2">
        <v>1.10189425945282</v>
      </c>
      <c r="BI199" s="2">
        <v>1.0433328151702901</v>
      </c>
      <c r="BJ199" s="2">
        <v>1.1039775609970099</v>
      </c>
      <c r="BK199" s="2">
        <v>1.1079808473587001</v>
      </c>
      <c r="BL199" s="2">
        <v>1.1063591241836499</v>
      </c>
      <c r="BM199" s="2">
        <v>1.1566805839538601</v>
      </c>
      <c r="BN199" s="2">
        <v>1.1050274372100799</v>
      </c>
      <c r="BO199" s="2">
        <v>1.1122182607650799</v>
      </c>
      <c r="BP199" s="2">
        <v>1.06766510009766</v>
      </c>
    </row>
    <row r="200" spans="1:68">
      <c r="A200" s="2" t="s">
        <v>443</v>
      </c>
      <c r="B200" s="2" t="s">
        <v>444</v>
      </c>
      <c r="C200" s="2" t="s">
        <v>837</v>
      </c>
      <c r="D200" s="2" t="s">
        <v>838</v>
      </c>
      <c r="AO200" s="2">
        <v>-0.66356259584426902</v>
      </c>
      <c r="AQ200" s="2">
        <v>-0.83411079645156905</v>
      </c>
      <c r="AS200" s="2">
        <v>-0.98942118883132901</v>
      </c>
      <c r="AU200" s="2">
        <v>-1.12330663204193</v>
      </c>
      <c r="AV200" s="2">
        <v>-1.05233979225159</v>
      </c>
      <c r="AW200" s="2">
        <v>-0.98186618089675903</v>
      </c>
      <c r="AX200" s="2">
        <v>-0.96342831850051902</v>
      </c>
      <c r="AY200" s="2">
        <v>-0.97109603881835904</v>
      </c>
      <c r="AZ200" s="2">
        <v>-0.96451431512832597</v>
      </c>
      <c r="BA200" s="2">
        <v>-0.91083520650863603</v>
      </c>
      <c r="BB200" s="2">
        <v>-0.85797703266143799</v>
      </c>
      <c r="BC200" s="2">
        <v>-0.83041149377822898</v>
      </c>
      <c r="BD200" s="2">
        <v>-0.80001133680343595</v>
      </c>
      <c r="BE200" s="2">
        <v>-0.81082051992416404</v>
      </c>
      <c r="BF200" s="2">
        <v>-0.76702362298965499</v>
      </c>
      <c r="BG200" s="2">
        <v>-0.604350566864014</v>
      </c>
      <c r="BH200" s="2">
        <v>-0.64435964822769198</v>
      </c>
      <c r="BI200" s="2">
        <v>-0.68965423107147195</v>
      </c>
      <c r="BJ200" s="2">
        <v>-0.66796183586120605</v>
      </c>
      <c r="BK200" s="2">
        <v>-0.60226827859878496</v>
      </c>
      <c r="BL200" s="2">
        <v>-0.56749618053436302</v>
      </c>
      <c r="BM200" s="2">
        <v>-0.42782652378082298</v>
      </c>
      <c r="BN200" s="2">
        <v>-0.57589703798294101</v>
      </c>
      <c r="BO200" s="2">
        <v>-0.59149837493896495</v>
      </c>
      <c r="BP200" s="2">
        <v>-0.58217459917068504</v>
      </c>
    </row>
    <row r="201" spans="1:68">
      <c r="A201" s="2" t="s">
        <v>445</v>
      </c>
      <c r="B201" s="2" t="s">
        <v>446</v>
      </c>
      <c r="C201" s="2" t="s">
        <v>837</v>
      </c>
      <c r="D201" s="2" t="s">
        <v>838</v>
      </c>
      <c r="AO201" s="2">
        <v>-3.96595969796181E-2</v>
      </c>
      <c r="AQ201" s="2">
        <v>-5.1891937851905802E-2</v>
      </c>
      <c r="AS201" s="2">
        <v>-9.6575677394866902E-2</v>
      </c>
      <c r="AU201" s="2">
        <v>-0.34865382313728299</v>
      </c>
      <c r="AV201" s="2">
        <v>-0.107248865067959</v>
      </c>
      <c r="AW201" s="2">
        <v>-0.26943427324295</v>
      </c>
      <c r="AX201" s="2">
        <v>-0.343224316835403</v>
      </c>
      <c r="AY201" s="2">
        <v>-0.39161482453346302</v>
      </c>
      <c r="AZ201" s="2">
        <v>-0.62590926885604903</v>
      </c>
      <c r="BA201" s="2">
        <v>-0.75887727737426802</v>
      </c>
      <c r="BB201" s="2">
        <v>-0.31480073928833002</v>
      </c>
      <c r="BC201" s="2">
        <v>-0.20930157601833299</v>
      </c>
      <c r="BD201" s="2">
        <v>-0.43671789765357999</v>
      </c>
      <c r="BE201" s="2">
        <v>-0.44570106267929099</v>
      </c>
      <c r="BF201" s="2">
        <v>-0.40114900469780002</v>
      </c>
      <c r="BG201" s="2">
        <v>-0.38383749127388</v>
      </c>
      <c r="BH201" s="2">
        <v>-0.52625924348831199</v>
      </c>
      <c r="BI201" s="2">
        <v>-0.36144962906837502</v>
      </c>
      <c r="BJ201" s="2">
        <v>-0.433971107006073</v>
      </c>
      <c r="BK201" s="2">
        <v>-0.50323945283889804</v>
      </c>
      <c r="BL201" s="2">
        <v>-0.50432819128036499</v>
      </c>
      <c r="BM201" s="2">
        <v>-0.47323241829872098</v>
      </c>
      <c r="BN201" s="2">
        <v>-0.51269197463989302</v>
      </c>
      <c r="BO201" s="2">
        <v>-0.55517172813415505</v>
      </c>
      <c r="BP201" s="2">
        <v>-0.68280476331710804</v>
      </c>
    </row>
    <row r="202" spans="1:68">
      <c r="A202" s="2" t="s">
        <v>447</v>
      </c>
      <c r="B202" s="2" t="s">
        <v>448</v>
      </c>
      <c r="C202" s="2" t="s">
        <v>837</v>
      </c>
      <c r="D202" s="2" t="s">
        <v>838</v>
      </c>
    </row>
    <row r="203" spans="1:68">
      <c r="A203" s="2" t="s">
        <v>449</v>
      </c>
      <c r="B203" s="2" t="s">
        <v>450</v>
      </c>
      <c r="C203" s="2" t="s">
        <v>837</v>
      </c>
      <c r="D203" s="2" t="s">
        <v>838</v>
      </c>
    </row>
    <row r="204" spans="1:68">
      <c r="A204" s="2" t="s">
        <v>451</v>
      </c>
      <c r="B204" s="2" t="s">
        <v>452</v>
      </c>
      <c r="C204" s="2" t="s">
        <v>837</v>
      </c>
      <c r="D204" s="2" t="s">
        <v>838</v>
      </c>
    </row>
    <row r="205" spans="1:68">
      <c r="A205" s="2" t="s">
        <v>453</v>
      </c>
      <c r="B205" s="2" t="s">
        <v>454</v>
      </c>
      <c r="C205" s="2" t="s">
        <v>837</v>
      </c>
      <c r="D205" s="2" t="s">
        <v>838</v>
      </c>
      <c r="AO205" s="2">
        <v>-3.5593807697296101E-2</v>
      </c>
      <c r="AQ205" s="2">
        <v>0.172034457325935</v>
      </c>
      <c r="AS205" s="2">
        <v>0.488340973854065</v>
      </c>
      <c r="AU205" s="2">
        <v>0.52409327030181896</v>
      </c>
      <c r="AV205" s="2">
        <v>0.42430719733238198</v>
      </c>
      <c r="AW205" s="2">
        <v>0.33891865611076399</v>
      </c>
      <c r="AX205" s="2">
        <v>0.57653027772903398</v>
      </c>
      <c r="AY205" s="2">
        <v>0.62477105855941795</v>
      </c>
      <c r="AZ205" s="2">
        <v>0.51977509260177601</v>
      </c>
      <c r="BA205" s="2">
        <v>0.67013502120971702</v>
      </c>
      <c r="BB205" s="2">
        <v>0.90235245227813698</v>
      </c>
      <c r="BC205" s="2">
        <v>0.84595471620559703</v>
      </c>
      <c r="BD205" s="2">
        <v>0.75073409080505404</v>
      </c>
      <c r="BE205" s="2">
        <v>0.95236432552337602</v>
      </c>
      <c r="BF205" s="2">
        <v>0.95216047763824496</v>
      </c>
      <c r="BG205" s="2">
        <v>0.86229312419891402</v>
      </c>
      <c r="BH205" s="2">
        <v>0.74440342187881503</v>
      </c>
      <c r="BI205" s="2">
        <v>0.76669496297836304</v>
      </c>
      <c r="BJ205" s="2">
        <v>0.69729006290435802</v>
      </c>
      <c r="BK205" s="2">
        <v>0.70527487993240401</v>
      </c>
      <c r="BL205" s="2">
        <v>0.70765018463134799</v>
      </c>
      <c r="BM205" s="2">
        <v>0.98067462444305398</v>
      </c>
      <c r="BN205" s="2">
        <v>0.90376913547515902</v>
      </c>
      <c r="BO205" s="2">
        <v>0.91714006662368797</v>
      </c>
      <c r="BP205" s="2">
        <v>0.93288505077362105</v>
      </c>
    </row>
    <row r="206" spans="1:68">
      <c r="A206" s="2" t="s">
        <v>455</v>
      </c>
      <c r="B206" s="2" t="s">
        <v>456</v>
      </c>
      <c r="C206" s="2" t="s">
        <v>837</v>
      </c>
      <c r="D206" s="2" t="s">
        <v>838</v>
      </c>
      <c r="AO206" s="2">
        <v>-2.1942498162388802E-2</v>
      </c>
      <c r="AQ206" s="2">
        <v>-0.110562637448311</v>
      </c>
      <c r="AS206" s="2">
        <v>-0.18183496594428999</v>
      </c>
      <c r="AU206" s="2">
        <v>-0.26560458540916398</v>
      </c>
      <c r="AV206" s="2">
        <v>-0.21005436778068501</v>
      </c>
      <c r="AW206" s="2">
        <v>-0.18678270280361201</v>
      </c>
      <c r="AX206" s="2">
        <v>-0.15421743690967599</v>
      </c>
      <c r="AY206" s="2">
        <v>-0.13470841944217701</v>
      </c>
      <c r="AZ206" s="2">
        <v>-0.10570373386144601</v>
      </c>
      <c r="BA206" s="2">
        <v>-1.5570250339806101E-2</v>
      </c>
      <c r="BB206" s="2">
        <v>5.3940374404191999E-2</v>
      </c>
      <c r="BC206" s="2">
        <v>0.106409564614296</v>
      </c>
      <c r="BD206" s="2">
        <v>0.104707606136799</v>
      </c>
      <c r="BE206" s="2">
        <v>9.2900536954402896E-2</v>
      </c>
      <c r="BF206" s="2">
        <v>0.190215259790421</v>
      </c>
      <c r="BG206" s="2">
        <v>0.24215574562549599</v>
      </c>
      <c r="BH206" s="2">
        <v>0.20488214492797899</v>
      </c>
      <c r="BI206" s="2">
        <v>0.45245349407196001</v>
      </c>
      <c r="BJ206" s="2">
        <v>0.436648339033127</v>
      </c>
      <c r="BK206" s="2">
        <v>0.367548227310181</v>
      </c>
      <c r="BL206" s="2">
        <v>0.41534364223480202</v>
      </c>
      <c r="BM206" s="2">
        <v>0.36868992447853099</v>
      </c>
      <c r="BN206" s="2">
        <v>0.38048443198204002</v>
      </c>
      <c r="BO206" s="2">
        <v>0.40340188145637501</v>
      </c>
      <c r="BP206" s="2">
        <v>0.43742579221725503</v>
      </c>
    </row>
    <row r="207" spans="1:68">
      <c r="A207" s="2" t="s">
        <v>457</v>
      </c>
      <c r="B207" s="2" t="s">
        <v>458</v>
      </c>
      <c r="C207" s="2" t="s">
        <v>837</v>
      </c>
      <c r="D207" s="2" t="s">
        <v>838</v>
      </c>
      <c r="AO207" s="2">
        <v>-0.79418760538101196</v>
      </c>
      <c r="AQ207" s="2">
        <v>-0.85579699277877797</v>
      </c>
      <c r="AS207" s="2">
        <v>-1.08369505405426</v>
      </c>
      <c r="AU207" s="2">
        <v>-0.87450414896011397</v>
      </c>
      <c r="AV207" s="2">
        <v>-0.95766824483871504</v>
      </c>
      <c r="AW207" s="2">
        <v>-0.91517525911331199</v>
      </c>
      <c r="AX207" s="2">
        <v>-0.96395450830459595</v>
      </c>
      <c r="AY207" s="2">
        <v>-0.98749643564224199</v>
      </c>
      <c r="AZ207" s="2">
        <v>-1.00755798816681</v>
      </c>
      <c r="BA207" s="2">
        <v>-1.0114558935165401</v>
      </c>
      <c r="BB207" s="2">
        <v>-0.80649822950363204</v>
      </c>
      <c r="BC207" s="2">
        <v>-0.79579108953475997</v>
      </c>
      <c r="BD207" s="2">
        <v>-0.74726420640945401</v>
      </c>
      <c r="BE207" s="2">
        <v>-0.85762125253677401</v>
      </c>
      <c r="BF207" s="2">
        <v>-0.82181411981582597</v>
      </c>
      <c r="BG207" s="2">
        <v>-0.77319234609603904</v>
      </c>
      <c r="BH207" s="2">
        <v>-0.81513118743896495</v>
      </c>
      <c r="BI207" s="2">
        <v>-0.84505409002304099</v>
      </c>
      <c r="BJ207" s="2">
        <v>-0.84592956304550204</v>
      </c>
      <c r="BK207" s="2">
        <v>-0.83272141218185403</v>
      </c>
      <c r="BL207" s="2">
        <v>-0.77124387025833097</v>
      </c>
      <c r="BM207" s="2">
        <v>-0.80521035194396995</v>
      </c>
      <c r="BN207" s="2">
        <v>-0.88617932796478305</v>
      </c>
      <c r="BO207" s="2">
        <v>-1.1965904235839799</v>
      </c>
      <c r="BP207" s="2">
        <v>-1.1876426935195901</v>
      </c>
    </row>
    <row r="208" spans="1:68">
      <c r="A208" s="2" t="s">
        <v>459</v>
      </c>
      <c r="B208" s="2" t="s">
        <v>460</v>
      </c>
      <c r="C208" s="2" t="s">
        <v>837</v>
      </c>
      <c r="D208" s="2" t="s">
        <v>838</v>
      </c>
      <c r="AO208" s="2">
        <v>-1.50215232372284</v>
      </c>
      <c r="AQ208" s="2">
        <v>-1.4609577655792201</v>
      </c>
      <c r="AS208" s="2">
        <v>-1.3708183765411399</v>
      </c>
      <c r="AU208" s="2">
        <v>-1.0712912082672099</v>
      </c>
      <c r="AV208" s="2">
        <v>-0.95822137594223</v>
      </c>
      <c r="AW208" s="2">
        <v>-0.85173350572586104</v>
      </c>
      <c r="AX208" s="2">
        <v>-0.86289954185485795</v>
      </c>
      <c r="AY208" s="2">
        <v>-0.67553293704986594</v>
      </c>
      <c r="AZ208" s="2">
        <v>-0.579642593860626</v>
      </c>
      <c r="BA208" s="2">
        <v>-0.47240188717842102</v>
      </c>
      <c r="BB208" s="2">
        <v>-0.50422185659408603</v>
      </c>
      <c r="BC208" s="2">
        <v>-0.33083176612853998</v>
      </c>
      <c r="BD208" s="2">
        <v>-0.30412390828132602</v>
      </c>
      <c r="BE208" s="2">
        <v>-0.250502079725266</v>
      </c>
      <c r="BF208" s="2">
        <v>-0.14688621461391399</v>
      </c>
      <c r="BG208" s="2">
        <v>7.0168219506740598E-2</v>
      </c>
      <c r="BH208" s="2">
        <v>3.8924239575862898E-2</v>
      </c>
      <c r="BI208" s="2">
        <v>9.6532121300697299E-2</v>
      </c>
      <c r="BJ208" s="2">
        <v>0.114127799868584</v>
      </c>
      <c r="BK208" s="2">
        <v>0.109231017529964</v>
      </c>
      <c r="BL208" s="2">
        <v>6.2771327793598203E-2</v>
      </c>
      <c r="BM208" s="2">
        <v>7.5776122510433197E-2</v>
      </c>
      <c r="BN208" s="2">
        <v>0.17209966480732</v>
      </c>
      <c r="BO208" s="2">
        <v>0.147747457027435</v>
      </c>
      <c r="BP208" s="2">
        <v>0.20515045523643499</v>
      </c>
    </row>
    <row r="209" spans="1:68">
      <c r="A209" s="2" t="s">
        <v>461</v>
      </c>
      <c r="B209" s="2" t="s">
        <v>462</v>
      </c>
      <c r="C209" s="2" t="s">
        <v>837</v>
      </c>
      <c r="D209" s="2" t="s">
        <v>838</v>
      </c>
    </row>
    <row r="210" spans="1:68">
      <c r="A210" s="2" t="s">
        <v>40</v>
      </c>
      <c r="B210" s="2" t="s">
        <v>463</v>
      </c>
      <c r="C210" s="2" t="s">
        <v>837</v>
      </c>
      <c r="D210" s="2" t="s">
        <v>838</v>
      </c>
      <c r="AO210" s="2">
        <v>0.114562630653381</v>
      </c>
      <c r="AQ210" s="2">
        <v>4.6700626611709602E-2</v>
      </c>
      <c r="AS210" s="2">
        <v>-0.16541127860546101</v>
      </c>
      <c r="AU210" s="2">
        <v>-1.7828591167926799E-2</v>
      </c>
      <c r="AV210" s="2">
        <v>0.10894649475812899</v>
      </c>
      <c r="AW210" s="2">
        <v>1.21128251776099E-2</v>
      </c>
      <c r="AX210" s="2">
        <v>-2.2657472640276E-2</v>
      </c>
      <c r="AY210" s="2">
        <v>1.1266702786088E-2</v>
      </c>
      <c r="AZ210" s="2">
        <v>6.7988209426403004E-2</v>
      </c>
      <c r="BA210" s="2">
        <v>6.8728327751159696E-2</v>
      </c>
      <c r="BB210" s="2">
        <v>4.51107770204544E-2</v>
      </c>
      <c r="BC210" s="2">
        <v>0.14953184127807601</v>
      </c>
      <c r="BD210" s="2">
        <v>4.6536326408386203E-2</v>
      </c>
      <c r="BE210" s="2">
        <v>0.14434976875781999</v>
      </c>
      <c r="BF210" s="2">
        <v>0.15323460102081299</v>
      </c>
      <c r="BG210" s="2">
        <v>0.13271252810955</v>
      </c>
      <c r="BH210" s="2">
        <v>9.7564987838268294E-2</v>
      </c>
      <c r="BI210" s="2">
        <v>0.31581962108612099</v>
      </c>
      <c r="BJ210" s="2">
        <v>7.7283516526222201E-2</v>
      </c>
      <c r="BK210" s="2">
        <v>0.117757342755795</v>
      </c>
      <c r="BL210" s="2">
        <v>0.14525765180587799</v>
      </c>
      <c r="BM210" s="2">
        <v>0.215450674295425</v>
      </c>
      <c r="BN210" s="2">
        <v>0.20560571551322901</v>
      </c>
      <c r="BO210" s="2">
        <v>0.28991371393203702</v>
      </c>
      <c r="BP210" s="2">
        <v>0.41457083821296697</v>
      </c>
    </row>
    <row r="211" spans="1:68">
      <c r="A211" s="2" t="s">
        <v>464</v>
      </c>
      <c r="B211" s="2" t="s">
        <v>465</v>
      </c>
      <c r="C211" s="2" t="s">
        <v>837</v>
      </c>
      <c r="D211" s="2" t="s">
        <v>838</v>
      </c>
      <c r="AO211" s="2">
        <v>-1.70883572101593</v>
      </c>
      <c r="AQ211" s="2">
        <v>-1.67008805274963</v>
      </c>
      <c r="AS211" s="2">
        <v>-1.6316182613372801</v>
      </c>
      <c r="AU211" s="2">
        <v>-1.3203700780868499</v>
      </c>
      <c r="AV211" s="2">
        <v>-1.55695199966431</v>
      </c>
      <c r="AW211" s="2">
        <v>-1.5316399335861199</v>
      </c>
      <c r="AX211" s="2">
        <v>-1.6499500274658201</v>
      </c>
      <c r="AY211" s="2">
        <v>-1.3760577440261801</v>
      </c>
      <c r="AZ211" s="2">
        <v>-1.4248645305633501</v>
      </c>
      <c r="BA211" s="2">
        <v>-1.44502377510071</v>
      </c>
      <c r="BB211" s="2">
        <v>-1.27007055282593</v>
      </c>
      <c r="BC211" s="2">
        <v>-1.33723092079163</v>
      </c>
      <c r="BD211" s="2">
        <v>-1.3014159202575699</v>
      </c>
      <c r="BE211" s="2">
        <v>-1.243647813797</v>
      </c>
      <c r="BF211" s="2">
        <v>-1.2833780050277701</v>
      </c>
      <c r="BG211" s="2">
        <v>-1.16981041431427</v>
      </c>
      <c r="BH211" s="2">
        <v>-1.2329189777374301</v>
      </c>
      <c r="BI211" s="2">
        <v>-1.2815957069396999</v>
      </c>
      <c r="BJ211" s="2">
        <v>-1.1219228506088299</v>
      </c>
      <c r="BK211" s="2">
        <v>-1.13850510120392</v>
      </c>
      <c r="BL211" s="2">
        <v>-1.1724810600280799</v>
      </c>
      <c r="BM211" s="2">
        <v>-1.08521068096161</v>
      </c>
      <c r="BN211" s="2">
        <v>-1.21845483779907</v>
      </c>
      <c r="BO211" s="2">
        <v>-1.26009333133698</v>
      </c>
      <c r="BP211" s="2">
        <v>-1.6741771697998</v>
      </c>
    </row>
    <row r="212" spans="1:68">
      <c r="A212" s="2" t="s">
        <v>466</v>
      </c>
      <c r="B212" s="2" t="s">
        <v>467</v>
      </c>
      <c r="C212" s="2" t="s">
        <v>837</v>
      </c>
      <c r="D212" s="2" t="s">
        <v>838</v>
      </c>
      <c r="AO212" s="2">
        <v>-0.18154323101043701</v>
      </c>
      <c r="AQ212" s="2">
        <v>6.8834841251373305E-2</v>
      </c>
      <c r="AS212" s="2">
        <v>7.9988181591033894E-2</v>
      </c>
      <c r="AU212" s="2">
        <v>8.9251734316349002E-2</v>
      </c>
      <c r="AV212" s="2">
        <v>-5.2030485123395899E-2</v>
      </c>
      <c r="AW212" s="2">
        <v>2.0185215398669201E-2</v>
      </c>
      <c r="AX212" s="2">
        <v>9.8164184018969501E-3</v>
      </c>
      <c r="AY212" s="2">
        <v>-0.22130621969699901</v>
      </c>
      <c r="AZ212" s="2">
        <v>-0.23980419337749501</v>
      </c>
      <c r="BA212" s="2">
        <v>-0.28042370080947898</v>
      </c>
      <c r="BB212" s="2">
        <v>-0.36722439527511602</v>
      </c>
      <c r="BC212" s="2">
        <v>-0.39750340580940202</v>
      </c>
      <c r="BD212" s="2">
        <v>-0.45604574680328402</v>
      </c>
      <c r="BE212" s="2">
        <v>-0.28196707367897</v>
      </c>
      <c r="BF212" s="2">
        <v>-0.23636282980442</v>
      </c>
      <c r="BG212" s="2">
        <v>-7.5783044099807698E-2</v>
      </c>
      <c r="BH212" s="2">
        <v>-0.15937095880508401</v>
      </c>
      <c r="BI212" s="2">
        <v>-0.123833999037743</v>
      </c>
      <c r="BJ212" s="2">
        <v>-0.17157009243965099</v>
      </c>
      <c r="BK212" s="2">
        <v>-0.224594131112099</v>
      </c>
      <c r="BL212" s="2">
        <v>-0.21520823240280201</v>
      </c>
      <c r="BM212" s="2">
        <v>-0.32080376148223899</v>
      </c>
      <c r="BN212" s="2">
        <v>-0.398609578609467</v>
      </c>
      <c r="BO212" s="2">
        <v>-0.26876485347747803</v>
      </c>
      <c r="BP212" s="2">
        <v>-0.27363285422325101</v>
      </c>
    </row>
    <row r="213" spans="1:68">
      <c r="A213" s="2" t="s">
        <v>468</v>
      </c>
      <c r="B213" s="2" t="s">
        <v>469</v>
      </c>
      <c r="C213" s="2" t="s">
        <v>837</v>
      </c>
      <c r="D213" s="2" t="s">
        <v>838</v>
      </c>
      <c r="AO213" s="2">
        <v>1.2393451929092401</v>
      </c>
      <c r="AQ213" s="2">
        <v>1.23770523071289</v>
      </c>
      <c r="AS213" s="2">
        <v>1.27266025543213</v>
      </c>
      <c r="AU213" s="2">
        <v>1.3772380352020299</v>
      </c>
      <c r="AV213" s="2">
        <v>1.5371508598327599</v>
      </c>
      <c r="AW213" s="2">
        <v>1.6380964517593399</v>
      </c>
      <c r="AX213" s="2">
        <v>1.69587361812592</v>
      </c>
      <c r="AY213" s="2">
        <v>1.5738986730575599</v>
      </c>
      <c r="AZ213" s="2">
        <v>1.5957239866256701</v>
      </c>
      <c r="BA213" s="2">
        <v>1.59489285945892</v>
      </c>
      <c r="BB213" s="2">
        <v>1.55884337425232</v>
      </c>
      <c r="BC213" s="2">
        <v>1.61884760856628</v>
      </c>
      <c r="BD213" s="2">
        <v>1.6607534885406501</v>
      </c>
      <c r="BE213" s="2">
        <v>1.7240780591964699</v>
      </c>
      <c r="BF213" s="2">
        <v>1.6972575187683101</v>
      </c>
      <c r="BG213" s="2">
        <v>1.8206704854965201</v>
      </c>
      <c r="BH213" s="2">
        <v>1.7791432142257699</v>
      </c>
      <c r="BI213" s="2">
        <v>1.78623282909393</v>
      </c>
      <c r="BJ213" s="2">
        <v>1.78575432300568</v>
      </c>
      <c r="BK213" s="2">
        <v>1.80290043354034</v>
      </c>
      <c r="BL213" s="2">
        <v>1.8380537033081099</v>
      </c>
      <c r="BM213" s="2">
        <v>1.8354349136352499</v>
      </c>
      <c r="BN213" s="2">
        <v>1.8194607496261599</v>
      </c>
      <c r="BO213" s="2">
        <v>1.7781903743743901</v>
      </c>
      <c r="BP213" s="2">
        <v>1.7531753778457599</v>
      </c>
    </row>
    <row r="214" spans="1:68">
      <c r="A214" s="2" t="s">
        <v>470</v>
      </c>
      <c r="B214" s="2" t="s">
        <v>471</v>
      </c>
      <c r="C214" s="2" t="s">
        <v>837</v>
      </c>
      <c r="D214" s="2" t="s">
        <v>838</v>
      </c>
      <c r="AO214" s="2">
        <v>0.73951810598373402</v>
      </c>
      <c r="AQ214" s="2">
        <v>0.73138689994812001</v>
      </c>
      <c r="AS214" s="2">
        <v>0.57137662172317505</v>
      </c>
      <c r="AU214" s="2">
        <v>0.140795692801476</v>
      </c>
      <c r="AV214" s="2">
        <v>0.210127502679825</v>
      </c>
      <c r="AW214" s="2">
        <v>-0.78921139240264904</v>
      </c>
      <c r="AX214" s="2">
        <v>-0.81422239542007402</v>
      </c>
      <c r="AY214" s="2">
        <v>-0.60367089509964</v>
      </c>
      <c r="AZ214" s="2">
        <v>-0.78153491020202603</v>
      </c>
      <c r="BA214" s="2">
        <v>-0.63335222005844105</v>
      </c>
      <c r="BB214" s="2">
        <v>-0.67523521184921298</v>
      </c>
      <c r="BC214" s="2">
        <v>-0.64786422252654996</v>
      </c>
      <c r="BD214" s="2">
        <v>-0.51869320869445801</v>
      </c>
      <c r="BE214" s="2">
        <v>-0.52809858322143599</v>
      </c>
      <c r="BF214" s="2">
        <v>-0.51286083459854104</v>
      </c>
      <c r="BG214" s="2">
        <v>-0.49008974432945301</v>
      </c>
      <c r="BH214" s="2">
        <v>-0.489612936973572</v>
      </c>
      <c r="BI214" s="2">
        <v>-0.30003377795219399</v>
      </c>
      <c r="BJ214" s="2">
        <v>-0.191830039024353</v>
      </c>
      <c r="BK214" s="2">
        <v>-0.202022984623909</v>
      </c>
      <c r="BL214" s="2">
        <v>-0.108965173363686</v>
      </c>
      <c r="BM214" s="2">
        <v>-3.6500826478004497E-2</v>
      </c>
      <c r="BN214" s="2">
        <v>-0.36349618434906</v>
      </c>
      <c r="BO214" s="2">
        <v>-0.240774631500244</v>
      </c>
      <c r="BP214" s="2">
        <v>-0.26291513442993197</v>
      </c>
    </row>
    <row r="215" spans="1:68">
      <c r="A215" s="2" t="s">
        <v>472</v>
      </c>
      <c r="B215" s="2" t="s">
        <v>473</v>
      </c>
      <c r="C215" s="2" t="s">
        <v>837</v>
      </c>
      <c r="D215" s="2" t="s">
        <v>838</v>
      </c>
      <c r="AO215" s="2">
        <v>-1.38199138641357</v>
      </c>
      <c r="AQ215" s="2">
        <v>-1.3143464326858501</v>
      </c>
      <c r="AS215" s="2">
        <v>-1.2887428998947099</v>
      </c>
      <c r="AU215" s="2">
        <v>-1.34433853626251</v>
      </c>
      <c r="AV215" s="2">
        <v>-1.1947054862976101</v>
      </c>
      <c r="AW215" s="2">
        <v>-1.1503211259841899</v>
      </c>
      <c r="AX215" s="2">
        <v>-1.1510156393051101</v>
      </c>
      <c r="AY215" s="2">
        <v>-0.99250775575637795</v>
      </c>
      <c r="AZ215" s="2">
        <v>-0.99419939517974898</v>
      </c>
      <c r="BA215" s="2">
        <v>-0.94453382492065396</v>
      </c>
      <c r="BB215" s="2">
        <v>-0.91463476419448897</v>
      </c>
      <c r="BC215" s="2">
        <v>-0.94713979959487904</v>
      </c>
      <c r="BD215" s="2">
        <v>-0.86253529787063599</v>
      </c>
      <c r="BE215" s="2">
        <v>-0.86762005090713501</v>
      </c>
      <c r="BF215" s="2">
        <v>-0.86782056093215898</v>
      </c>
      <c r="BG215" s="2">
        <v>-0.93561369180679299</v>
      </c>
      <c r="BH215" s="2">
        <v>-0.88052201271057096</v>
      </c>
      <c r="BI215" s="2">
        <v>-0.80318152904510498</v>
      </c>
      <c r="BJ215" s="2">
        <v>-0.80648940801620495</v>
      </c>
      <c r="BK215" s="2">
        <v>-0.79717016220092796</v>
      </c>
      <c r="BL215" s="2">
        <v>-0.80406773090362504</v>
      </c>
      <c r="BM215" s="2">
        <v>-0.79450100660324097</v>
      </c>
      <c r="BN215" s="2">
        <v>-0.83977031707763705</v>
      </c>
      <c r="BO215" s="2">
        <v>-0.83098089694976796</v>
      </c>
      <c r="BP215" s="2">
        <v>-0.83296328783035301</v>
      </c>
    </row>
    <row r="216" spans="1:68">
      <c r="A216" s="2" t="s">
        <v>474</v>
      </c>
      <c r="B216" s="2" t="s">
        <v>475</v>
      </c>
      <c r="C216" s="2" t="s">
        <v>837</v>
      </c>
      <c r="D216" s="2" t="s">
        <v>838</v>
      </c>
      <c r="AO216" s="2">
        <v>-0.87022596597671498</v>
      </c>
      <c r="AQ216" s="2">
        <v>-0.69076037406921398</v>
      </c>
      <c r="AS216" s="2">
        <v>-0.80345326662063599</v>
      </c>
      <c r="AU216" s="2">
        <v>-0.56652104854583696</v>
      </c>
      <c r="AV216" s="2">
        <v>-0.51685523986816395</v>
      </c>
      <c r="AW216" s="2">
        <v>-0.49090805649757402</v>
      </c>
      <c r="AX216" s="2">
        <v>-0.50520849227905296</v>
      </c>
      <c r="AY216" s="2">
        <v>-0.69174158573150601</v>
      </c>
      <c r="AZ216" s="2">
        <v>-0.72293603420257602</v>
      </c>
      <c r="BA216" s="2">
        <v>-0.694341421127319</v>
      </c>
      <c r="BB216" s="2">
        <v>-0.78332161903381303</v>
      </c>
      <c r="BC216" s="2">
        <v>-0.86574989557266202</v>
      </c>
      <c r="BD216" s="2">
        <v>-0.75170940160751298</v>
      </c>
      <c r="BE216" s="2">
        <v>-0.72860336303710904</v>
      </c>
      <c r="BF216" s="2">
        <v>-0.63721418380737305</v>
      </c>
      <c r="BG216" s="2">
        <v>-0.46933487057685902</v>
      </c>
      <c r="BH216" s="2">
        <v>-0.616807520389557</v>
      </c>
      <c r="BI216" s="2">
        <v>-0.75797873735427901</v>
      </c>
      <c r="BJ216" s="2">
        <v>-0.87329190969467196</v>
      </c>
      <c r="BK216" s="2">
        <v>-0.930314421653748</v>
      </c>
      <c r="BL216" s="2">
        <v>-0.86601364612579301</v>
      </c>
      <c r="BM216" s="2">
        <v>-0.77708542346954301</v>
      </c>
      <c r="BN216" s="2">
        <v>-0.86638319492340099</v>
      </c>
      <c r="BO216" s="2">
        <v>-0.74221771955490101</v>
      </c>
      <c r="BP216" s="2">
        <v>-0.36935731768608099</v>
      </c>
    </row>
    <row r="217" spans="1:68">
      <c r="A217" s="2" t="s">
        <v>476</v>
      </c>
      <c r="B217" s="2" t="s">
        <v>477</v>
      </c>
      <c r="C217" s="2" t="s">
        <v>837</v>
      </c>
      <c r="D217" s="2" t="s">
        <v>838</v>
      </c>
      <c r="AO217" s="2">
        <v>0.80914056301116899</v>
      </c>
      <c r="AQ217" s="2">
        <v>0.87650817632675204</v>
      </c>
      <c r="AS217" s="2">
        <v>0.83971226215362504</v>
      </c>
      <c r="AU217" s="2">
        <v>0.83394581079482999</v>
      </c>
      <c r="AV217" s="2">
        <v>0.83328413963317904</v>
      </c>
      <c r="AW217" s="2">
        <v>0.82633042335510298</v>
      </c>
      <c r="AX217" s="2">
        <v>0.776517033576965</v>
      </c>
      <c r="AY217" s="2">
        <v>0.98430705070495605</v>
      </c>
      <c r="AZ217" s="2">
        <v>0.87686491012573198</v>
      </c>
      <c r="BA217" s="2">
        <v>0.90197908878326405</v>
      </c>
      <c r="BB217" s="2">
        <v>0.94385725259780895</v>
      </c>
      <c r="BC217" s="2">
        <v>0.88235425949096702</v>
      </c>
      <c r="BD217" s="2">
        <v>0.93960809707641602</v>
      </c>
      <c r="BE217" s="2">
        <v>0.92688065767288197</v>
      </c>
      <c r="BF217" s="2">
        <v>0.92914676666259799</v>
      </c>
      <c r="BH217" s="2">
        <v>1.5131918191909799</v>
      </c>
      <c r="BI217" s="2">
        <v>1.5129361152648899</v>
      </c>
      <c r="BJ217" s="2">
        <v>1.5355688333511399</v>
      </c>
      <c r="BK217" s="2">
        <v>1.5365079641342201</v>
      </c>
      <c r="BL217" s="2">
        <v>1.51021492481232</v>
      </c>
      <c r="BM217" s="2">
        <v>1.6151815652847299</v>
      </c>
      <c r="BN217" s="2">
        <v>1.64205121994019</v>
      </c>
      <c r="BO217" s="2">
        <v>1.74985027313232</v>
      </c>
      <c r="BP217" s="2">
        <v>1.4768989086151101</v>
      </c>
    </row>
    <row r="218" spans="1:68">
      <c r="A218" s="2" t="s">
        <v>478</v>
      </c>
      <c r="B218" s="2" t="s">
        <v>479</v>
      </c>
      <c r="C218" s="2" t="s">
        <v>837</v>
      </c>
      <c r="D218" s="2" t="s">
        <v>838</v>
      </c>
      <c r="AO218" s="2">
        <v>-2.1446573734283398</v>
      </c>
      <c r="AQ218" s="2">
        <v>-2.1361532211303702</v>
      </c>
      <c r="AS218" s="2">
        <v>-2.1904339790344198</v>
      </c>
      <c r="AU218" s="2">
        <v>-1.9371353387832599</v>
      </c>
      <c r="AV218" s="2">
        <v>-2.0482847690582302</v>
      </c>
      <c r="AW218" s="2">
        <v>-2.28866386413574</v>
      </c>
      <c r="AX218" s="2">
        <v>-2.2194523811340301</v>
      </c>
      <c r="AY218" s="2">
        <v>-2.35046291351318</v>
      </c>
      <c r="AZ218" s="2">
        <v>-2.4192299842834499</v>
      </c>
      <c r="BA218" s="2">
        <v>-2.5908770561218302</v>
      </c>
      <c r="BB218" s="2">
        <v>-2.4502966403961199</v>
      </c>
      <c r="BC218" s="2">
        <v>-2.4062635898590101</v>
      </c>
      <c r="BD218" s="2">
        <v>-2.3382785320282</v>
      </c>
      <c r="BE218" s="2">
        <v>-2.4182040691375701</v>
      </c>
      <c r="BF218" s="2">
        <v>-2.4066212177276598</v>
      </c>
      <c r="BG218" s="2">
        <v>-2.3556702136993399</v>
      </c>
      <c r="BH218" s="2">
        <v>-2.3153963088989302</v>
      </c>
      <c r="BI218" s="2">
        <v>-2.3162491321563698</v>
      </c>
      <c r="BJ218" s="2">
        <v>-2.33167695999146</v>
      </c>
      <c r="BK218" s="2">
        <v>-2.29865527153015</v>
      </c>
      <c r="BL218" s="2">
        <v>-2.3805921077728298</v>
      </c>
      <c r="BM218" s="2">
        <v>-2.3125448226928702</v>
      </c>
      <c r="BN218" s="2">
        <v>-2.2824454307556201</v>
      </c>
      <c r="BO218" s="2">
        <v>-2.2872788906097399</v>
      </c>
      <c r="BP218" s="2">
        <v>-2.2120046615600599</v>
      </c>
    </row>
    <row r="219" spans="1:68">
      <c r="A219" s="2" t="s">
        <v>480</v>
      </c>
      <c r="B219" s="2" t="s">
        <v>481</v>
      </c>
      <c r="C219" s="2" t="s">
        <v>837</v>
      </c>
      <c r="D219" s="2" t="s">
        <v>838</v>
      </c>
      <c r="AO219" s="2">
        <v>-1.2624931335449201</v>
      </c>
      <c r="AQ219" s="2">
        <v>-1.26437652111053</v>
      </c>
      <c r="AS219" s="2">
        <v>-1.27798712253571</v>
      </c>
      <c r="AU219" s="2">
        <v>-0.90361934900283802</v>
      </c>
      <c r="AV219" s="2">
        <v>-0.90482199192047097</v>
      </c>
      <c r="AW219" s="2">
        <v>-0.73836314678192105</v>
      </c>
      <c r="AX219" s="2">
        <v>-0.94870078563690197</v>
      </c>
      <c r="AY219" s="2">
        <v>-0.536948502063751</v>
      </c>
      <c r="AZ219" s="2">
        <v>-0.46427118778228799</v>
      </c>
      <c r="BA219" s="2">
        <v>-0.49174967408180198</v>
      </c>
      <c r="BB219" s="2">
        <v>-0.47445863485336298</v>
      </c>
      <c r="BC219" s="2">
        <v>-0.43001449108123802</v>
      </c>
      <c r="BD219" s="2">
        <v>-0.32504934072494501</v>
      </c>
      <c r="BE219" s="2">
        <v>-0.332835763692856</v>
      </c>
      <c r="BF219" s="2">
        <v>-0.29882889986038202</v>
      </c>
      <c r="BG219" s="2">
        <v>-9.4780981540679904E-2</v>
      </c>
      <c r="BH219" s="2">
        <v>-7.5776860117912306E-2</v>
      </c>
      <c r="BI219" s="2">
        <v>-0.127017572522163</v>
      </c>
      <c r="BJ219" s="2">
        <v>-0.17972655594348899</v>
      </c>
      <c r="BK219" s="2">
        <v>-0.17032261192798601</v>
      </c>
      <c r="BL219" s="2">
        <v>-0.14385189116001099</v>
      </c>
      <c r="BM219" s="2">
        <v>-0.123005606234074</v>
      </c>
      <c r="BN219" s="2">
        <v>-0.115502558648586</v>
      </c>
      <c r="BO219" s="2">
        <v>-0.113955773413181</v>
      </c>
      <c r="BP219" s="2">
        <v>-7.4504487216472598E-2</v>
      </c>
    </row>
    <row r="220" spans="1:68">
      <c r="A220" s="2" t="s">
        <v>482</v>
      </c>
      <c r="B220" s="2" t="s">
        <v>483</v>
      </c>
      <c r="C220" s="2" t="s">
        <v>837</v>
      </c>
      <c r="D220" s="2" t="s">
        <v>838</v>
      </c>
    </row>
    <row r="221" spans="1:68">
      <c r="A221" s="2" t="s">
        <v>484</v>
      </c>
      <c r="B221" s="2" t="s">
        <v>485</v>
      </c>
      <c r="C221" s="2" t="s">
        <v>837</v>
      </c>
      <c r="D221" s="2" t="s">
        <v>838</v>
      </c>
      <c r="BD221" s="2">
        <v>-1.2734762430191</v>
      </c>
      <c r="BE221" s="2">
        <v>-1.41670286655426</v>
      </c>
      <c r="BF221" s="2">
        <v>-1.53580057621002</v>
      </c>
      <c r="BG221" s="2">
        <v>-1.85107946395874</v>
      </c>
      <c r="BH221" s="2">
        <v>-1.8953927755355799</v>
      </c>
      <c r="BI221" s="2">
        <v>-1.9775079488754299</v>
      </c>
      <c r="BJ221" s="2">
        <v>-1.96300029754639</v>
      </c>
      <c r="BK221" s="2">
        <v>-1.9863877296447801</v>
      </c>
      <c r="BL221" s="2">
        <v>-2.0090074539184601</v>
      </c>
      <c r="BM221" s="2">
        <v>-1.9719262123107899</v>
      </c>
      <c r="BN221" s="2">
        <v>-2.0709316730499299</v>
      </c>
      <c r="BO221" s="2">
        <v>-2.0552170276641801</v>
      </c>
      <c r="BP221" s="2">
        <v>-2.1382358074188201</v>
      </c>
    </row>
    <row r="222" spans="1:68">
      <c r="A222" s="2" t="s">
        <v>486</v>
      </c>
      <c r="B222" s="2" t="s">
        <v>487</v>
      </c>
      <c r="C222" s="2" t="s">
        <v>837</v>
      </c>
      <c r="D222" s="2" t="s">
        <v>838</v>
      </c>
    </row>
    <row r="223" spans="1:68">
      <c r="A223" s="2" t="s">
        <v>488</v>
      </c>
      <c r="B223" s="2" t="s">
        <v>489</v>
      </c>
      <c r="C223" s="2" t="s">
        <v>837</v>
      </c>
      <c r="D223" s="2" t="s">
        <v>838</v>
      </c>
    </row>
    <row r="224" spans="1:68">
      <c r="A224" s="2" t="s">
        <v>490</v>
      </c>
      <c r="B224" s="2" t="s">
        <v>491</v>
      </c>
      <c r="C224" s="2" t="s">
        <v>837</v>
      </c>
      <c r="D224" s="2" t="s">
        <v>838</v>
      </c>
      <c r="AO224" s="2">
        <v>0.26879125833511402</v>
      </c>
      <c r="AQ224" s="2">
        <v>0.26272431015968301</v>
      </c>
      <c r="AS224" s="2">
        <v>0.20703777670860299</v>
      </c>
      <c r="AU224" s="2">
        <v>-0.19982887804508201</v>
      </c>
      <c r="AV224" s="2">
        <v>-0.21819056570529899</v>
      </c>
      <c r="AW224" s="2">
        <v>-0.23153360188007399</v>
      </c>
      <c r="AX224" s="2">
        <v>-0.53366529941558805</v>
      </c>
      <c r="AY224" s="2">
        <v>-0.510794937610626</v>
      </c>
      <c r="AZ224" s="2">
        <v>-0.45739883184433</v>
      </c>
      <c r="BA224" s="2">
        <v>-0.494799554347992</v>
      </c>
      <c r="BB224" s="2">
        <v>-0.69857132434845004</v>
      </c>
      <c r="BC224" s="2">
        <v>-0.68313837051391602</v>
      </c>
      <c r="BD224" s="2">
        <v>-0.66947001218795799</v>
      </c>
      <c r="BE224" s="2">
        <v>-0.74639219045639005</v>
      </c>
      <c r="BF224" s="2">
        <v>-0.77036774158477805</v>
      </c>
      <c r="BG224" s="2">
        <v>-0.79093927145004295</v>
      </c>
      <c r="BH224" s="2">
        <v>-0.77495044469833396</v>
      </c>
      <c r="BI224" s="2">
        <v>-0.68801832199096702</v>
      </c>
      <c r="BJ224" s="2">
        <v>-0.72628545761108398</v>
      </c>
      <c r="BK224" s="2">
        <v>-0.71397310495376598</v>
      </c>
      <c r="BL224" s="2">
        <v>-0.69311487674713101</v>
      </c>
      <c r="BM224" s="2">
        <v>-0.70737129449844405</v>
      </c>
      <c r="BN224" s="2">
        <v>-0.72777414321899403</v>
      </c>
      <c r="BO224" s="2">
        <v>-0.63444054126739502</v>
      </c>
      <c r="BP224" s="2">
        <v>-0.69483935832977295</v>
      </c>
    </row>
    <row r="225" spans="1:68">
      <c r="A225" s="2" t="s">
        <v>492</v>
      </c>
      <c r="B225" s="2" t="s">
        <v>493</v>
      </c>
      <c r="C225" s="2" t="s">
        <v>837</v>
      </c>
      <c r="D225" s="2" t="s">
        <v>838</v>
      </c>
      <c r="AO225" s="2">
        <v>-8.0992601811885806E-2</v>
      </c>
      <c r="AQ225" s="2">
        <v>-4.1345036588609201E-3</v>
      </c>
      <c r="AS225" s="2">
        <v>-3.8425419479608501E-2</v>
      </c>
      <c r="AU225" s="2">
        <v>-0.12791493535041801</v>
      </c>
      <c r="AV225" s="2">
        <v>-5.2874337881803499E-2</v>
      </c>
      <c r="AW225" s="2">
        <v>-0.17975702881812999</v>
      </c>
      <c r="AX225" s="2">
        <v>-0.135859340429306</v>
      </c>
      <c r="AY225" s="2">
        <v>-0.22630548477172899</v>
      </c>
      <c r="AZ225" s="2">
        <v>-0.246702715754509</v>
      </c>
      <c r="BA225" s="2">
        <v>-0.23413002490997301</v>
      </c>
      <c r="BB225" s="2">
        <v>-0.124648116528988</v>
      </c>
      <c r="BC225" s="2">
        <v>-5.77610395848751E-2</v>
      </c>
      <c r="BD225" s="2">
        <v>-4.7765843570232398E-2</v>
      </c>
      <c r="BE225" s="2">
        <v>-6.1574719846248599E-2</v>
      </c>
      <c r="BF225" s="2">
        <v>-4.9031350761652E-2</v>
      </c>
      <c r="BG225" s="2">
        <v>-0.136155605316162</v>
      </c>
      <c r="BH225" s="2">
        <v>-0.21575757861137401</v>
      </c>
      <c r="BI225" s="2">
        <v>-0.17460255324840501</v>
      </c>
      <c r="BJ225" s="2">
        <v>-0.17183716595172899</v>
      </c>
      <c r="BK225" s="2">
        <v>-8.7810397148132296E-2</v>
      </c>
      <c r="BL225" s="2">
        <v>-8.34658518433571E-2</v>
      </c>
      <c r="BM225" s="2">
        <v>-0.13208894431591001</v>
      </c>
      <c r="BN225" s="2">
        <v>-0.12621363997459401</v>
      </c>
      <c r="BO225" s="2">
        <v>-0.12830781936645499</v>
      </c>
      <c r="BP225" s="2">
        <v>-6.2257450073957402E-2</v>
      </c>
    </row>
    <row r="226" spans="1:68">
      <c r="A226" s="2" t="s">
        <v>494</v>
      </c>
      <c r="B226" s="2" t="s">
        <v>495</v>
      </c>
      <c r="C226" s="2" t="s">
        <v>837</v>
      </c>
      <c r="D226" s="2" t="s">
        <v>838</v>
      </c>
      <c r="AO226" s="2">
        <v>0.15956352651119199</v>
      </c>
      <c r="AQ226" s="2">
        <v>0.16883142292499501</v>
      </c>
      <c r="AS226" s="2">
        <v>0.29994657635688798</v>
      </c>
      <c r="AU226" s="2">
        <v>0.28569012880325301</v>
      </c>
      <c r="AV226" s="2">
        <v>0.331788569688797</v>
      </c>
      <c r="AW226" s="2">
        <v>0.46408593654632602</v>
      </c>
      <c r="AX226" s="2">
        <v>0.49057060480117798</v>
      </c>
      <c r="AY226" s="2">
        <v>0.488393604755402</v>
      </c>
      <c r="AZ226" s="2">
        <v>0.42862877249717701</v>
      </c>
      <c r="BA226" s="2">
        <v>0.52795600891113303</v>
      </c>
      <c r="BB226" s="2">
        <v>0.53401434421539296</v>
      </c>
      <c r="BC226" s="2">
        <v>0.56303441524505604</v>
      </c>
      <c r="BD226" s="2">
        <v>0.59775477647781405</v>
      </c>
      <c r="BE226" s="2">
        <v>0.48591175675392201</v>
      </c>
      <c r="BF226" s="2">
        <v>0.46376773715019198</v>
      </c>
      <c r="BG226" s="2">
        <v>0.48506829142570501</v>
      </c>
      <c r="BH226" s="2">
        <v>0.46648401021957397</v>
      </c>
      <c r="BI226" s="2">
        <v>0.59704881906509399</v>
      </c>
      <c r="BJ226" s="2">
        <v>0.51324808597564697</v>
      </c>
      <c r="BK226" s="2">
        <v>0.47286963462829601</v>
      </c>
      <c r="BL226" s="2">
        <v>0.50003349781036399</v>
      </c>
      <c r="BM226" s="2">
        <v>0.65549880266189597</v>
      </c>
      <c r="BN226" s="2">
        <v>0.67847567796707198</v>
      </c>
      <c r="BO226" s="2">
        <v>0.62099874019622803</v>
      </c>
      <c r="BP226" s="2">
        <v>0.60336518287658703</v>
      </c>
    </row>
    <row r="227" spans="1:68">
      <c r="A227" s="2" t="s">
        <v>496</v>
      </c>
      <c r="B227" s="2" t="s">
        <v>497</v>
      </c>
      <c r="C227" s="2" t="s">
        <v>837</v>
      </c>
      <c r="D227" s="2" t="s">
        <v>838</v>
      </c>
      <c r="AO227" s="2">
        <v>1.0687229633331301</v>
      </c>
      <c r="AQ227" s="2">
        <v>1.17716312408447</v>
      </c>
      <c r="AS227" s="2">
        <v>0.96703094244003296</v>
      </c>
      <c r="AU227" s="2">
        <v>0.88309019804000899</v>
      </c>
      <c r="AV227" s="2">
        <v>0.84939956665039096</v>
      </c>
      <c r="AW227" s="2">
        <v>0.913738012313843</v>
      </c>
      <c r="AX227" s="2">
        <v>0.88354158401489302</v>
      </c>
      <c r="AY227" s="2">
        <v>0.89984107017517101</v>
      </c>
      <c r="AZ227" s="2">
        <v>0.94562345743179299</v>
      </c>
      <c r="BA227" s="2">
        <v>1.0078496932983401</v>
      </c>
      <c r="BB227" s="2">
        <v>1.0689043998718299</v>
      </c>
      <c r="BC227" s="2">
        <v>1.0019823312759399</v>
      </c>
      <c r="BD227" s="2">
        <v>1.0452075004577599</v>
      </c>
      <c r="BE227" s="2">
        <v>1.00906705856323</v>
      </c>
      <c r="BF227" s="2">
        <v>0.99451279640197798</v>
      </c>
      <c r="BG227" s="2">
        <v>0.99971199035644498</v>
      </c>
      <c r="BH227" s="2">
        <v>0.94575625658035301</v>
      </c>
      <c r="BI227" s="2">
        <v>1.0505995750427199</v>
      </c>
      <c r="BJ227" s="2">
        <v>0.99327933788299605</v>
      </c>
      <c r="BK227" s="2">
        <v>1.0244784355163601</v>
      </c>
      <c r="BL227" s="2">
        <v>1.08500075340271</v>
      </c>
      <c r="BM227" s="2">
        <v>1.0395486354827901</v>
      </c>
      <c r="BN227" s="2">
        <v>1.00168013572693</v>
      </c>
      <c r="BO227" s="2">
        <v>0.97090518474578902</v>
      </c>
      <c r="BP227" s="2">
        <v>1.03880786895752</v>
      </c>
    </row>
    <row r="228" spans="1:68">
      <c r="A228" s="2" t="s">
        <v>498</v>
      </c>
      <c r="B228" s="2" t="s">
        <v>499</v>
      </c>
      <c r="C228" s="2" t="s">
        <v>837</v>
      </c>
      <c r="D228" s="2" t="s">
        <v>838</v>
      </c>
      <c r="AO228" s="2">
        <v>1.7958612442016599</v>
      </c>
      <c r="AQ228" s="2">
        <v>1.7514357566833501</v>
      </c>
      <c r="AS228" s="2">
        <v>1.8001868724823</v>
      </c>
      <c r="AU228" s="2">
        <v>1.84246826171875</v>
      </c>
      <c r="AV228" s="2">
        <v>1.8867110013961801</v>
      </c>
      <c r="AW228" s="2">
        <v>1.8725622892379801</v>
      </c>
      <c r="AX228" s="2">
        <v>1.79775130748749</v>
      </c>
      <c r="AY228" s="2">
        <v>1.8511763811111499</v>
      </c>
      <c r="AZ228" s="2">
        <v>1.89182782173157</v>
      </c>
      <c r="BA228" s="2">
        <v>1.91915678977966</v>
      </c>
      <c r="BB228" s="2">
        <v>1.9582816362380999</v>
      </c>
      <c r="BC228" s="2">
        <v>1.93030881881714</v>
      </c>
      <c r="BD228" s="2">
        <v>1.91803658008575</v>
      </c>
      <c r="BE228" s="2">
        <v>1.92827761173248</v>
      </c>
      <c r="BF228" s="2">
        <v>1.9505981206893901</v>
      </c>
      <c r="BG228" s="2">
        <v>1.9751451015472401</v>
      </c>
      <c r="BH228" s="2">
        <v>1.99032938480377</v>
      </c>
      <c r="BI228" s="2">
        <v>1.9522848129272501</v>
      </c>
      <c r="BJ228" s="2">
        <v>1.8196985721588099</v>
      </c>
      <c r="BK228" s="2">
        <v>1.78407502174377</v>
      </c>
      <c r="BL228" s="2">
        <v>1.7921615839004501</v>
      </c>
      <c r="BM228" s="2">
        <v>1.7674101591110201</v>
      </c>
      <c r="BN228" s="2">
        <v>1.69935715198517</v>
      </c>
      <c r="BO228" s="2">
        <v>1.68850898742676</v>
      </c>
      <c r="BP228" s="2">
        <v>1.6040234565734901</v>
      </c>
    </row>
    <row r="229" spans="1:68">
      <c r="A229" s="2" t="s">
        <v>500</v>
      </c>
      <c r="B229" s="2" t="s">
        <v>501</v>
      </c>
      <c r="C229" s="2" t="s">
        <v>837</v>
      </c>
      <c r="D229" s="2" t="s">
        <v>838</v>
      </c>
      <c r="AO229" s="2">
        <v>-0.47402480244636502</v>
      </c>
      <c r="AQ229" s="2">
        <v>-0.66250944137573198</v>
      </c>
      <c r="AS229" s="2">
        <v>-0.71545112133026101</v>
      </c>
      <c r="AU229" s="2">
        <v>-0.78202605247497603</v>
      </c>
      <c r="AV229" s="2">
        <v>-0.61389023065567005</v>
      </c>
      <c r="AW229" s="2">
        <v>-0.800742328166962</v>
      </c>
      <c r="AX229" s="2">
        <v>-0.87901282310485795</v>
      </c>
      <c r="AY229" s="2">
        <v>-0.59863686561584495</v>
      </c>
      <c r="AZ229" s="2">
        <v>-0.69462412595748901</v>
      </c>
      <c r="BA229" s="2">
        <v>-0.53172147274017301</v>
      </c>
      <c r="BB229" s="2">
        <v>-0.480329960584641</v>
      </c>
      <c r="BC229" s="2">
        <v>-0.47066456079482999</v>
      </c>
      <c r="BD229" s="2">
        <v>-0.53369206190109297</v>
      </c>
      <c r="BE229" s="2">
        <v>-0.53537255525589</v>
      </c>
      <c r="BF229" s="2">
        <v>-0.49297755956649802</v>
      </c>
      <c r="BG229" s="2">
        <v>-0.31121429800987199</v>
      </c>
      <c r="BH229" s="2">
        <v>-0.318581312894821</v>
      </c>
      <c r="BI229" s="2">
        <v>-0.378984034061432</v>
      </c>
      <c r="BJ229" s="2">
        <v>-0.27456215023994401</v>
      </c>
      <c r="BK229" s="2">
        <v>-0.27630573511123702</v>
      </c>
      <c r="BL229" s="2">
        <v>-0.47831562161445601</v>
      </c>
      <c r="BM229" s="2">
        <v>-0.49907180666923501</v>
      </c>
      <c r="BN229" s="2">
        <v>-0.57552397251129195</v>
      </c>
      <c r="BO229" s="2">
        <v>-0.64542806148529097</v>
      </c>
      <c r="BP229" s="2">
        <v>-0.59774607419967696</v>
      </c>
    </row>
    <row r="230" spans="1:68">
      <c r="A230" s="2" t="s">
        <v>502</v>
      </c>
      <c r="B230" s="2" t="s">
        <v>503</v>
      </c>
      <c r="C230" s="2" t="s">
        <v>837</v>
      </c>
      <c r="D230" s="2" t="s">
        <v>838</v>
      </c>
    </row>
    <row r="231" spans="1:68">
      <c r="A231" s="2" t="s">
        <v>504</v>
      </c>
      <c r="B231" s="2" t="s">
        <v>505</v>
      </c>
      <c r="C231" s="2" t="s">
        <v>837</v>
      </c>
      <c r="D231" s="2" t="s">
        <v>838</v>
      </c>
      <c r="AO231" s="2">
        <v>0.59960013628006004</v>
      </c>
      <c r="AQ231" s="2">
        <v>0.62056344747543302</v>
      </c>
      <c r="AS231" s="2">
        <v>0.72542876005172696</v>
      </c>
      <c r="AU231" s="2">
        <v>0.67558491230010997</v>
      </c>
      <c r="AV231" s="2">
        <v>0.76478093862533603</v>
      </c>
      <c r="AW231" s="2">
        <v>0.51081448793411299</v>
      </c>
      <c r="AX231" s="2">
        <v>0.40130627155303999</v>
      </c>
      <c r="AY231" s="2">
        <v>0.17126715183258101</v>
      </c>
      <c r="AZ231" s="2">
        <v>0.31271180510520902</v>
      </c>
      <c r="BA231" s="2">
        <v>0.36062508821487399</v>
      </c>
      <c r="BB231" s="2">
        <v>0.117766954004765</v>
      </c>
      <c r="BC231" s="2">
        <v>5.9988740831613499E-2</v>
      </c>
      <c r="BD231" s="2">
        <v>-1.0353690013289499E-3</v>
      </c>
      <c r="BE231" s="2">
        <v>5.8190312236547498E-2</v>
      </c>
      <c r="BF231" s="2">
        <v>0.16707502305507699</v>
      </c>
      <c r="BG231" s="2">
        <v>0.24993783235549899</v>
      </c>
      <c r="BH231" s="2">
        <v>0.337435692548752</v>
      </c>
      <c r="BI231" s="2">
        <v>0.28611150383949302</v>
      </c>
      <c r="BJ231" s="2">
        <v>0.16875827312469499</v>
      </c>
      <c r="BK231" s="2">
        <v>0.28040575981140098</v>
      </c>
      <c r="BL231" s="2">
        <v>0.25003677606582603</v>
      </c>
      <c r="BM231" s="2">
        <v>0.23480001091957101</v>
      </c>
      <c r="BN231" s="2">
        <v>0.30399367213249201</v>
      </c>
      <c r="BO231" s="2">
        <v>0.46173733472824102</v>
      </c>
      <c r="BP231" s="2">
        <v>0.43293511867523199</v>
      </c>
    </row>
    <row r="232" spans="1:68">
      <c r="A232" s="2" t="s">
        <v>506</v>
      </c>
      <c r="B232" s="2" t="s">
        <v>507</v>
      </c>
      <c r="C232" s="2" t="s">
        <v>837</v>
      </c>
      <c r="D232" s="2" t="s">
        <v>838</v>
      </c>
      <c r="AO232" s="2">
        <v>-0.54615604877471902</v>
      </c>
      <c r="AQ232" s="2">
        <v>-0.53708410263061501</v>
      </c>
      <c r="AS232" s="2">
        <v>-0.50605565309524503</v>
      </c>
      <c r="AU232" s="2">
        <v>-0.56023085117340099</v>
      </c>
      <c r="AV232" s="2">
        <v>-0.48306196928024298</v>
      </c>
      <c r="AW232" s="2">
        <v>-0.47645658254623402</v>
      </c>
      <c r="AX232" s="2">
        <v>-0.59440112113952603</v>
      </c>
      <c r="AY232" s="2">
        <v>-0.93059539794921897</v>
      </c>
      <c r="AZ232" s="2">
        <v>-0.83466619253158603</v>
      </c>
      <c r="BA232" s="2">
        <v>-0.72199261188507102</v>
      </c>
      <c r="BB232" s="2">
        <v>-0.57924103736877397</v>
      </c>
      <c r="BC232" s="2">
        <v>-0.59312760829925504</v>
      </c>
      <c r="BD232" s="2">
        <v>-0.77877032756805398</v>
      </c>
      <c r="BE232" s="2">
        <v>-1.1284441947937001</v>
      </c>
      <c r="BF232" s="2">
        <v>-1.4067459106445299</v>
      </c>
      <c r="BG232" s="2">
        <v>-1.3582613468170199</v>
      </c>
      <c r="BH232" s="2">
        <v>-1.4366862773895299</v>
      </c>
      <c r="BI232" s="2">
        <v>-1.9936232566833501</v>
      </c>
      <c r="BJ232" s="2">
        <v>-2.0979530811309801</v>
      </c>
      <c r="BK232" s="2">
        <v>-2.0546414852142298</v>
      </c>
      <c r="BL232" s="2">
        <v>-2.0882434844970699</v>
      </c>
      <c r="BM232" s="2">
        <v>-2.0889084339141801</v>
      </c>
      <c r="BN232" s="2">
        <v>-2.0821385383606001</v>
      </c>
      <c r="BO232" s="2">
        <v>-2.06914091110229</v>
      </c>
      <c r="BP232" s="2">
        <v>-2.0351800918579102</v>
      </c>
    </row>
    <row r="233" spans="1:68">
      <c r="A233" s="2" t="s">
        <v>508</v>
      </c>
      <c r="B233" s="2" t="s">
        <v>509</v>
      </c>
      <c r="C233" s="2" t="s">
        <v>837</v>
      </c>
      <c r="D233" s="2" t="s">
        <v>838</v>
      </c>
    </row>
    <row r="234" spans="1:68">
      <c r="A234" s="2" t="s">
        <v>510</v>
      </c>
      <c r="B234" s="2" t="s">
        <v>511</v>
      </c>
      <c r="C234" s="2" t="s">
        <v>837</v>
      </c>
      <c r="D234" s="2" t="s">
        <v>838</v>
      </c>
      <c r="AO234" s="2">
        <v>-1.2561113834381099</v>
      </c>
      <c r="AQ234" s="2">
        <v>-1.19058036804199</v>
      </c>
      <c r="AS234" s="2">
        <v>-1.1309946775436399</v>
      </c>
      <c r="AU234" s="2">
        <v>-1.10900986194611</v>
      </c>
      <c r="AV234" s="2">
        <v>-1.51830554008484</v>
      </c>
      <c r="AW234" s="2">
        <v>-1.3330330848693801</v>
      </c>
      <c r="AX234" s="2">
        <v>-1.5037381649017301</v>
      </c>
      <c r="AY234" s="2">
        <v>-1.5529985427856401</v>
      </c>
      <c r="AZ234" s="2">
        <v>-1.5432811975479099</v>
      </c>
      <c r="BA234" s="2">
        <v>-1.6257731914520299</v>
      </c>
      <c r="BB234" s="2">
        <v>-1.52672183513641</v>
      </c>
      <c r="BC234" s="2">
        <v>-1.51355981826782</v>
      </c>
      <c r="BD234" s="2">
        <v>-1.4845941066741899</v>
      </c>
      <c r="BE234" s="2">
        <v>-1.4639041423797601</v>
      </c>
      <c r="BF234" s="2">
        <v>-1.3979516029357899</v>
      </c>
      <c r="BG234" s="2">
        <v>-1.15071153640747</v>
      </c>
      <c r="BH234" s="2">
        <v>-1.21115374565125</v>
      </c>
      <c r="BI234" s="2">
        <v>-1.40784251689911</v>
      </c>
      <c r="BJ234" s="2">
        <v>-1.3184273242950399</v>
      </c>
      <c r="BK234" s="2">
        <v>-1.33122742176056</v>
      </c>
      <c r="BL234" s="2">
        <v>-1.31430351734161</v>
      </c>
      <c r="BM234" s="2">
        <v>-1.3312677145004299</v>
      </c>
      <c r="BN234" s="2">
        <v>-1.34221231937408</v>
      </c>
      <c r="BO234" s="2">
        <v>-1.37356173992157</v>
      </c>
      <c r="BP234" s="2">
        <v>-1.3542392253875699</v>
      </c>
    </row>
    <row r="235" spans="1:68">
      <c r="A235" s="2" t="s">
        <v>512</v>
      </c>
      <c r="B235" s="2" t="s">
        <v>513</v>
      </c>
      <c r="C235" s="2" t="s">
        <v>837</v>
      </c>
      <c r="D235" s="2" t="s">
        <v>838</v>
      </c>
    </row>
    <row r="236" spans="1:68">
      <c r="A236" s="2" t="s">
        <v>514</v>
      </c>
      <c r="B236" s="2" t="s">
        <v>515</v>
      </c>
      <c r="C236" s="2" t="s">
        <v>837</v>
      </c>
      <c r="D236" s="2" t="s">
        <v>838</v>
      </c>
    </row>
    <row r="237" spans="1:68">
      <c r="A237" s="2" t="s">
        <v>516</v>
      </c>
      <c r="B237" s="2" t="s">
        <v>517</v>
      </c>
      <c r="C237" s="2" t="s">
        <v>837</v>
      </c>
      <c r="D237" s="2" t="s">
        <v>838</v>
      </c>
      <c r="AO237" s="2">
        <v>-0.73124963045120195</v>
      </c>
      <c r="AQ237" s="2">
        <v>-0.75963217020034801</v>
      </c>
      <c r="AS237" s="2">
        <v>-0.64904391765594505</v>
      </c>
      <c r="AU237" s="2">
        <v>-0.83001458644866899</v>
      </c>
      <c r="AV237" s="2">
        <v>-0.95592415332794201</v>
      </c>
      <c r="AW237" s="2">
        <v>-1.1026916503906199</v>
      </c>
      <c r="AX237" s="2">
        <v>-1.06442594528198</v>
      </c>
      <c r="AY237" s="2">
        <v>-0.948749899864197</v>
      </c>
      <c r="AZ237" s="2">
        <v>-0.93030589818954501</v>
      </c>
      <c r="BA237" s="2">
        <v>-0.83338397741317705</v>
      </c>
      <c r="BB237" s="2">
        <v>-0.89612793922424305</v>
      </c>
      <c r="BC237" s="2">
        <v>-0.935580134391785</v>
      </c>
      <c r="BD237" s="2">
        <v>-0.89390921592712402</v>
      </c>
      <c r="BE237" s="2">
        <v>-0.94806003570556596</v>
      </c>
      <c r="BF237" s="2">
        <v>-0.98430383205413796</v>
      </c>
      <c r="BG237" s="2">
        <v>-0.85859024524688698</v>
      </c>
      <c r="BH237" s="2">
        <v>-0.818953156471252</v>
      </c>
      <c r="BI237" s="2">
        <v>-0.65260642766952504</v>
      </c>
      <c r="BJ237" s="2">
        <v>-0.73098683357238803</v>
      </c>
      <c r="BK237" s="2">
        <v>-0.619187831878662</v>
      </c>
      <c r="BL237" s="2">
        <v>-0.59054666757583596</v>
      </c>
      <c r="BM237" s="2">
        <v>-0.67414981126785301</v>
      </c>
      <c r="BN237" s="2">
        <v>-0.58592134714126598</v>
      </c>
      <c r="BO237" s="2">
        <v>-0.55035895109176602</v>
      </c>
      <c r="BP237" s="2">
        <v>-0.52749973535537698</v>
      </c>
    </row>
    <row r="238" spans="1:68">
      <c r="A238" s="2" t="s">
        <v>518</v>
      </c>
      <c r="B238" s="2" t="s">
        <v>519</v>
      </c>
      <c r="C238" s="2" t="s">
        <v>837</v>
      </c>
      <c r="D238" s="2" t="s">
        <v>838</v>
      </c>
      <c r="AO238" s="2">
        <v>0.53962880373001099</v>
      </c>
      <c r="AQ238" s="2">
        <v>0.50933539867401101</v>
      </c>
      <c r="AS238" s="2">
        <v>0.57901805639267001</v>
      </c>
      <c r="AU238" s="2">
        <v>0.38692298531532299</v>
      </c>
      <c r="AV238" s="2">
        <v>0.15371115505695301</v>
      </c>
      <c r="AW238" s="2">
        <v>6.238729134202E-2</v>
      </c>
      <c r="AX238" s="2">
        <v>-7.5570750050246698E-3</v>
      </c>
      <c r="AY238" s="2">
        <v>-6.93550705909729E-2</v>
      </c>
      <c r="AZ238" s="2">
        <v>-0.13744048774242401</v>
      </c>
      <c r="BA238" s="2">
        <v>-0.15974041819572399</v>
      </c>
      <c r="BB238" s="2">
        <v>-0.260052651166916</v>
      </c>
      <c r="BC238" s="2">
        <v>-0.23362262547016099</v>
      </c>
      <c r="BD238" s="2">
        <v>-0.22975252568721799</v>
      </c>
      <c r="BE238" s="2">
        <v>-0.17236910760402699</v>
      </c>
      <c r="BF238" s="2">
        <v>-0.13927754759788499</v>
      </c>
      <c r="BG238" s="2">
        <v>-0.220402136445045</v>
      </c>
      <c r="BH238" s="2">
        <v>-0.18811464309692399</v>
      </c>
      <c r="BI238" s="2">
        <v>-2.82307099550962E-2</v>
      </c>
      <c r="BJ238" s="2">
        <v>1.3869789429009001E-2</v>
      </c>
      <c r="BK238" s="2">
        <v>-4.03118878602982E-3</v>
      </c>
      <c r="BL238" s="2">
        <v>8.87417942285538E-2</v>
      </c>
      <c r="BM238" s="2">
        <v>0.111505389213562</v>
      </c>
      <c r="BN238" s="2">
        <v>9.3798831105232197E-2</v>
      </c>
      <c r="BO238" s="2">
        <v>6.5747417509555803E-2</v>
      </c>
      <c r="BP238" s="2">
        <v>0.24487274885177601</v>
      </c>
    </row>
    <row r="239" spans="1:68">
      <c r="A239" s="2" t="s">
        <v>520</v>
      </c>
      <c r="B239" s="2" t="s">
        <v>521</v>
      </c>
      <c r="C239" s="2" t="s">
        <v>837</v>
      </c>
      <c r="D239" s="2" t="s">
        <v>838</v>
      </c>
      <c r="AO239" s="2">
        <v>-1.6481573581695601</v>
      </c>
      <c r="AQ239" s="2">
        <v>-1.5336234569549601</v>
      </c>
      <c r="AS239" s="2">
        <v>-1.3816899061203001</v>
      </c>
      <c r="AU239" s="2">
        <v>-1.08354067802429</v>
      </c>
      <c r="AV239" s="2">
        <v>-1.06657803058624</v>
      </c>
      <c r="AW239" s="2">
        <v>-1.1831371784210201</v>
      </c>
      <c r="AX239" s="2">
        <v>-1.10024237632751</v>
      </c>
      <c r="AY239" s="2">
        <v>-1.18217408657074</v>
      </c>
      <c r="AZ239" s="2">
        <v>-1.29604709148407</v>
      </c>
      <c r="BA239" s="2">
        <v>-1.29554963111877</v>
      </c>
      <c r="BB239" s="2">
        <v>-1.27246570587158</v>
      </c>
      <c r="BC239" s="2">
        <v>-1.21289575099945</v>
      </c>
      <c r="BD239" s="2">
        <v>-1.23239934444427</v>
      </c>
      <c r="BE239" s="2">
        <v>-1.2076199054718</v>
      </c>
      <c r="BF239" s="2">
        <v>-1.2635037899017301</v>
      </c>
      <c r="BG239" s="2">
        <v>-1.0121363401412999</v>
      </c>
      <c r="BH239" s="2">
        <v>-1.07517385482788</v>
      </c>
      <c r="BI239" s="2">
        <v>-1.16668653488159</v>
      </c>
      <c r="BJ239" s="2">
        <v>-1.37405633926392</v>
      </c>
      <c r="BK239" s="2">
        <v>-1.30350601673126</v>
      </c>
      <c r="BL239" s="2">
        <v>-1.2538548707962001</v>
      </c>
      <c r="BM239" s="2">
        <v>-1.2505894899368299</v>
      </c>
      <c r="BN239" s="2">
        <v>-1.20684373378754</v>
      </c>
      <c r="BO239" s="2">
        <v>-1.2555650472641</v>
      </c>
      <c r="BP239" s="2">
        <v>-1.2772312164306601</v>
      </c>
    </row>
    <row r="240" spans="1:68">
      <c r="A240" s="2" t="s">
        <v>522</v>
      </c>
      <c r="B240" s="2" t="s">
        <v>523</v>
      </c>
      <c r="C240" s="2" t="s">
        <v>837</v>
      </c>
      <c r="D240" s="2" t="s">
        <v>838</v>
      </c>
      <c r="AO240" s="2">
        <v>-1.4873911142349201</v>
      </c>
      <c r="AQ240" s="2">
        <v>-1.41050136089325</v>
      </c>
      <c r="AS240" s="2">
        <v>-1.3698582649230999</v>
      </c>
      <c r="AU240" s="2">
        <v>-1.4239799976348899</v>
      </c>
      <c r="AV240" s="2">
        <v>-1.31896460056305</v>
      </c>
      <c r="AW240" s="2">
        <v>-1.62806761264801</v>
      </c>
      <c r="AX240" s="2">
        <v>-1.61142349243164</v>
      </c>
      <c r="AY240" s="2">
        <v>-1.64104187488556</v>
      </c>
      <c r="AZ240" s="2">
        <v>-1.56595134735107</v>
      </c>
      <c r="BA240" s="2">
        <v>-1.45997738838196</v>
      </c>
      <c r="BB240" s="2">
        <v>-1.4537044763565099</v>
      </c>
      <c r="BC240" s="2">
        <v>-1.47331619262695</v>
      </c>
      <c r="BD240" s="2">
        <v>-1.43329453468323</v>
      </c>
      <c r="BE240" s="2">
        <v>-1.3807088136673</v>
      </c>
      <c r="BF240" s="2">
        <v>-1.36186134815216</v>
      </c>
      <c r="BG240" s="2">
        <v>-1.34476661682129</v>
      </c>
      <c r="BH240" s="2">
        <v>-1.41998243331909</v>
      </c>
      <c r="BI240" s="2">
        <v>-1.4883556365966799</v>
      </c>
      <c r="BJ240" s="2">
        <v>-1.4815591573715201</v>
      </c>
      <c r="BK240" s="2">
        <v>-1.4645847082138099</v>
      </c>
      <c r="BL240" s="2">
        <v>-1.40987253189087</v>
      </c>
      <c r="BM240" s="2">
        <v>-1.4000273942947401</v>
      </c>
      <c r="BN240" s="2">
        <v>-1.4587215185165401</v>
      </c>
      <c r="BO240" s="2">
        <v>-1.4923115968704199</v>
      </c>
      <c r="BP240" s="2">
        <v>-1.48657822608948</v>
      </c>
    </row>
    <row r="241" spans="1:68">
      <c r="A241" s="2" t="s">
        <v>524</v>
      </c>
      <c r="B241" s="2" t="s">
        <v>525</v>
      </c>
      <c r="C241" s="2" t="s">
        <v>837</v>
      </c>
      <c r="D241" s="2" t="s">
        <v>838</v>
      </c>
    </row>
    <row r="242" spans="1:68">
      <c r="A242" s="2" t="s">
        <v>526</v>
      </c>
      <c r="B242" s="2" t="s">
        <v>527</v>
      </c>
      <c r="C242" s="2" t="s">
        <v>837</v>
      </c>
      <c r="D242" s="2" t="s">
        <v>838</v>
      </c>
      <c r="AO242" s="2">
        <v>-1.56857550144196</v>
      </c>
      <c r="AQ242" s="2">
        <v>-1.56888091564178</v>
      </c>
      <c r="AS242" s="2">
        <v>0.27413308620452898</v>
      </c>
      <c r="AU242" s="2">
        <v>-0.83753502368927002</v>
      </c>
      <c r="AV242" s="2">
        <v>-0.42982825636863697</v>
      </c>
      <c r="AW242" s="2">
        <v>-0.59241133928298995</v>
      </c>
      <c r="AX242" s="2">
        <v>-0.50909394025802601</v>
      </c>
      <c r="AY242" s="2">
        <v>-1.1104098558425901</v>
      </c>
      <c r="AZ242" s="2">
        <v>-1.20347332954407</v>
      </c>
      <c r="BA242" s="2">
        <v>-1.05070447921753</v>
      </c>
      <c r="BB242" s="2">
        <v>-1.2029654979705799</v>
      </c>
      <c r="BC242" s="2">
        <v>-1.18515872955322</v>
      </c>
      <c r="BD242" s="2">
        <v>-1.1867653131485001</v>
      </c>
      <c r="BE242" s="2">
        <v>-1.14376664161682</v>
      </c>
      <c r="BF242" s="2">
        <v>-1.2129547595977801</v>
      </c>
      <c r="BG242" s="2">
        <v>-1.11269855499268</v>
      </c>
      <c r="BH242" s="2">
        <v>-1.1336977481842001</v>
      </c>
      <c r="BI242" s="2">
        <v>-1.17595374584198</v>
      </c>
      <c r="BJ242" s="2">
        <v>-1.1731543540954601</v>
      </c>
      <c r="BK242" s="2">
        <v>-1.13950335979462</v>
      </c>
      <c r="BL242" s="2">
        <v>-1.1298147439956701</v>
      </c>
      <c r="BM242" s="2">
        <v>-1.1996144056320199</v>
      </c>
      <c r="BN242" s="2">
        <v>-1.0252875089645399</v>
      </c>
      <c r="BO242" s="2">
        <v>-0.88037776947021495</v>
      </c>
      <c r="BP242" s="2">
        <v>-0.83402198553085305</v>
      </c>
    </row>
    <row r="243" spans="1:68">
      <c r="A243" s="2" t="s">
        <v>528</v>
      </c>
      <c r="B243" s="2" t="s">
        <v>529</v>
      </c>
      <c r="C243" s="2" t="s">
        <v>837</v>
      </c>
      <c r="D243" s="2" t="s">
        <v>838</v>
      </c>
    </row>
    <row r="244" spans="1:68">
      <c r="A244" s="2" t="s">
        <v>530</v>
      </c>
      <c r="B244" s="2" t="s">
        <v>531</v>
      </c>
      <c r="C244" s="2" t="s">
        <v>837</v>
      </c>
      <c r="D244" s="2" t="s">
        <v>838</v>
      </c>
      <c r="AO244" s="2">
        <v>0.80914056301116899</v>
      </c>
      <c r="AQ244" s="2">
        <v>0.87650817632675204</v>
      </c>
      <c r="AS244" s="2">
        <v>0.83971226215362504</v>
      </c>
      <c r="AU244" s="2">
        <v>0.83394581079482999</v>
      </c>
      <c r="AV244" s="2">
        <v>-0.17444838583469399</v>
      </c>
      <c r="AW244" s="2">
        <v>1.41295678913593E-2</v>
      </c>
      <c r="AX244" s="2">
        <v>0.55942964553832997</v>
      </c>
      <c r="AY244" s="2">
        <v>0.619174003601074</v>
      </c>
      <c r="AZ244" s="2">
        <v>0.50369203090667702</v>
      </c>
      <c r="BA244" s="2">
        <v>0.106922201812267</v>
      </c>
      <c r="BB244" s="2">
        <v>-7.0649169385433197E-2</v>
      </c>
      <c r="BC244" s="2">
        <v>9.98813360929489E-2</v>
      </c>
      <c r="BD244" s="2">
        <v>1.07107488438487E-2</v>
      </c>
      <c r="BE244" s="2">
        <v>-2.3023433983326E-2</v>
      </c>
      <c r="BF244" s="2">
        <v>1.8315095454454401E-2</v>
      </c>
      <c r="BG244" s="2">
        <v>-0.15940698981285101</v>
      </c>
      <c r="BH244" s="2">
        <v>-0.218340024352074</v>
      </c>
      <c r="BI244" s="2">
        <v>0.30231666564941401</v>
      </c>
      <c r="BJ244" s="2">
        <v>0.30022013187408397</v>
      </c>
      <c r="BK244" s="2">
        <v>0.42598003149032598</v>
      </c>
      <c r="BL244" s="2">
        <v>0.49822136759758001</v>
      </c>
      <c r="BM244" s="2">
        <v>0.49449500441551197</v>
      </c>
      <c r="BN244" s="2">
        <v>0.42982837557792702</v>
      </c>
      <c r="BO244" s="2">
        <v>0.59553825855255105</v>
      </c>
      <c r="BP244" s="2">
        <v>0.54852950572967496</v>
      </c>
    </row>
    <row r="245" spans="1:68">
      <c r="A245" s="2" t="s">
        <v>532</v>
      </c>
      <c r="B245" s="2" t="s">
        <v>533</v>
      </c>
      <c r="C245" s="2" t="s">
        <v>837</v>
      </c>
      <c r="D245" s="2" t="s">
        <v>838</v>
      </c>
    </row>
    <row r="246" spans="1:68">
      <c r="A246" s="2" t="s">
        <v>534</v>
      </c>
      <c r="B246" s="2" t="s">
        <v>535</v>
      </c>
      <c r="C246" s="2" t="s">
        <v>837</v>
      </c>
      <c r="D246" s="2" t="s">
        <v>838</v>
      </c>
    </row>
    <row r="247" spans="1:68">
      <c r="A247" s="2" t="s">
        <v>536</v>
      </c>
      <c r="B247" s="2" t="s">
        <v>537</v>
      </c>
      <c r="C247" s="2" t="s">
        <v>837</v>
      </c>
      <c r="D247" s="2" t="s">
        <v>838</v>
      </c>
      <c r="AO247" s="2">
        <v>0.53429514169693004</v>
      </c>
      <c r="AQ247" s="2">
        <v>0.59451287984848</v>
      </c>
      <c r="AS247" s="2">
        <v>0.41365453600883501</v>
      </c>
      <c r="AU247" s="2">
        <v>0.43502724170684798</v>
      </c>
      <c r="AV247" s="2">
        <v>0.23420883715152699</v>
      </c>
      <c r="AW247" s="2">
        <v>3.6098800599575001E-2</v>
      </c>
      <c r="AX247" s="2">
        <v>-7.8242886811494793E-3</v>
      </c>
      <c r="AY247" s="2">
        <v>-0.22684305906295801</v>
      </c>
      <c r="AZ247" s="2">
        <v>-0.15149244666099501</v>
      </c>
      <c r="BA247" s="2">
        <v>-0.225084587931633</v>
      </c>
      <c r="BB247" s="2">
        <v>-0.20764952898025499</v>
      </c>
      <c r="BC247" s="2">
        <v>-0.19858010113239299</v>
      </c>
      <c r="BD247" s="2">
        <v>-0.179331794381142</v>
      </c>
      <c r="BE247" s="2">
        <v>-0.16671511530876201</v>
      </c>
      <c r="BF247" s="2">
        <v>-0.20465335249900801</v>
      </c>
      <c r="BG247" s="2">
        <v>-0.106338836252689</v>
      </c>
      <c r="BH247" s="2">
        <v>-0.15620456635951999</v>
      </c>
      <c r="BI247" s="2">
        <v>-0.21055409312248199</v>
      </c>
      <c r="BJ247" s="2">
        <v>-0.132017612457275</v>
      </c>
      <c r="BK247" s="2">
        <v>-0.16924995183944699</v>
      </c>
      <c r="BL247" s="2">
        <v>-0.17006182670593301</v>
      </c>
      <c r="BM247" s="2">
        <v>-0.170465707778931</v>
      </c>
      <c r="BN247" s="2">
        <v>-0.158318847417831</v>
      </c>
      <c r="BO247" s="2">
        <v>-0.16856224834919001</v>
      </c>
      <c r="BP247" s="2">
        <v>-0.28358563780784601</v>
      </c>
    </row>
    <row r="248" spans="1:68">
      <c r="A248" s="2" t="s">
        <v>538</v>
      </c>
      <c r="B248" s="2" t="s">
        <v>539</v>
      </c>
      <c r="C248" s="2" t="s">
        <v>837</v>
      </c>
      <c r="D248" s="2" t="s">
        <v>838</v>
      </c>
      <c r="AO248" s="2">
        <v>-0.303403049707413</v>
      </c>
      <c r="AQ248" s="2">
        <v>-0.31945538520812999</v>
      </c>
      <c r="AS248" s="2">
        <v>-0.28046277165412897</v>
      </c>
      <c r="AU248" s="2">
        <v>-0.16676695644855499</v>
      </c>
      <c r="AV248" s="2">
        <v>-0.19057497382163999</v>
      </c>
      <c r="AW248" s="2">
        <v>4.6694163233041798E-2</v>
      </c>
      <c r="AX248" s="2">
        <v>-3.6268614232540103E-2</v>
      </c>
      <c r="AY248" s="2">
        <v>0.11295890808105501</v>
      </c>
      <c r="AZ248" s="2">
        <v>8.0828972160816207E-2</v>
      </c>
      <c r="BA248" s="2">
        <v>7.9568602144718198E-2</v>
      </c>
      <c r="BB248" s="2">
        <v>0.119992300868034</v>
      </c>
      <c r="BC248" s="2">
        <v>3.8853328675031697E-2</v>
      </c>
      <c r="BD248" s="2">
        <v>-0.19285605847835499</v>
      </c>
      <c r="BE248" s="2">
        <v>-0.16384936869144401</v>
      </c>
      <c r="BF248" s="2">
        <v>-0.17883801460266099</v>
      </c>
      <c r="BG248" s="2">
        <v>-6.8823695182800307E-2</v>
      </c>
      <c r="BH248" s="2">
        <v>-4.6470254659652703E-2</v>
      </c>
      <c r="BI248" s="2">
        <v>2.1599991247057901E-2</v>
      </c>
      <c r="BJ248" s="2">
        <v>9.3789137899875599E-2</v>
      </c>
      <c r="BK248" s="2">
        <v>5.3313538432121298E-2</v>
      </c>
      <c r="BL248" s="2">
        <v>8.7141871452331501E-2</v>
      </c>
      <c r="BM248" s="2">
        <v>0.14153447747230499</v>
      </c>
      <c r="BN248" s="2">
        <v>6.6302925348281902E-2</v>
      </c>
      <c r="BO248" s="2">
        <v>-0.112762130796909</v>
      </c>
      <c r="BP248" s="2">
        <v>-0.138983190059662</v>
      </c>
    </row>
    <row r="249" spans="1:68">
      <c r="A249" s="2" t="s">
        <v>50</v>
      </c>
      <c r="B249" s="2" t="s">
        <v>540</v>
      </c>
      <c r="C249" s="2" t="s">
        <v>837</v>
      </c>
      <c r="D249" s="2" t="s">
        <v>838</v>
      </c>
      <c r="AO249" s="2">
        <v>-0.13879477977752699</v>
      </c>
      <c r="AQ249" s="2">
        <v>-9.9510565400123596E-2</v>
      </c>
      <c r="AS249" s="2">
        <v>-7.0946209132671398E-2</v>
      </c>
      <c r="AU249" s="2">
        <v>-8.2183204591274303E-2</v>
      </c>
      <c r="AV249" s="2">
        <v>0.103039585053921</v>
      </c>
      <c r="AW249" s="2">
        <v>8.4699280560016604E-2</v>
      </c>
      <c r="AX249" s="2">
        <v>0.11746855080127699</v>
      </c>
      <c r="AY249" s="2">
        <v>-3.37432185187936E-3</v>
      </c>
      <c r="AZ249" s="2">
        <v>-3.5805914551019703E-2</v>
      </c>
      <c r="BA249" s="2">
        <v>2.28446871042252E-2</v>
      </c>
      <c r="BB249" s="2">
        <v>4.8908550292253501E-2</v>
      </c>
      <c r="BC249" s="2">
        <v>4.9980122596025502E-2</v>
      </c>
      <c r="BD249" s="2">
        <v>1.54577177017927E-2</v>
      </c>
      <c r="BE249" s="2">
        <v>-3.6608554422855398E-2</v>
      </c>
      <c r="BF249" s="2">
        <v>-4.6927677467465401E-3</v>
      </c>
      <c r="BG249" s="2">
        <v>-7.60362073779106E-2</v>
      </c>
      <c r="BH249" s="2">
        <v>-0.23225000500678999</v>
      </c>
      <c r="BI249" s="2">
        <v>-0.34149235486984297</v>
      </c>
      <c r="BJ249" s="2">
        <v>-0.31727251410484297</v>
      </c>
      <c r="BK249" s="2">
        <v>-0.390099376440048</v>
      </c>
      <c r="BL249" s="2">
        <v>-0.346833646297455</v>
      </c>
      <c r="BM249" s="2">
        <v>-0.41865900158882102</v>
      </c>
      <c r="BN249" s="2">
        <v>-0.43371212482452398</v>
      </c>
      <c r="BO249" s="2">
        <v>-0.459680616855621</v>
      </c>
      <c r="BP249" s="2">
        <v>-0.51197290420532204</v>
      </c>
    </row>
    <row r="250" spans="1:68">
      <c r="A250" s="2" t="s">
        <v>541</v>
      </c>
      <c r="B250" s="2" t="s">
        <v>542</v>
      </c>
      <c r="C250" s="2" t="s">
        <v>837</v>
      </c>
      <c r="D250" s="2" t="s">
        <v>838</v>
      </c>
      <c r="AO250" s="2">
        <v>0.80914056301116899</v>
      </c>
      <c r="AQ250" s="2">
        <v>0.87650817632675204</v>
      </c>
      <c r="AS250" s="2">
        <v>0.83971226215362504</v>
      </c>
      <c r="AU250" s="2">
        <v>0.83394581079482999</v>
      </c>
      <c r="AV250" s="2">
        <v>0.83328413963317904</v>
      </c>
      <c r="AW250" s="2">
        <v>0.762897849082947</v>
      </c>
      <c r="AX250" s="2">
        <v>1.26157879829407</v>
      </c>
      <c r="AY250" s="2">
        <v>1.07941830158234</v>
      </c>
      <c r="AZ250" s="2">
        <v>0.99100661277770996</v>
      </c>
      <c r="BA250" s="2">
        <v>0.97794282436370805</v>
      </c>
      <c r="BB250" s="2">
        <v>1.01633048057556</v>
      </c>
      <c r="BC250" s="2">
        <v>0.99287468194961503</v>
      </c>
      <c r="BD250" s="2">
        <v>0.99321734905242898</v>
      </c>
      <c r="BE250" s="2">
        <v>0.55975425243377697</v>
      </c>
      <c r="BF250" s="2">
        <v>0.59110200405120805</v>
      </c>
      <c r="BG250" s="2">
        <v>0.50735962390899703</v>
      </c>
      <c r="BH250" s="2">
        <v>0.43655097484588601</v>
      </c>
      <c r="BI250" s="2">
        <v>0.56185168027877797</v>
      </c>
      <c r="BJ250" s="2">
        <v>0.62240374088287398</v>
      </c>
      <c r="BK250" s="2">
        <v>0.61480480432510398</v>
      </c>
      <c r="BL250" s="2">
        <v>0.56229567527770996</v>
      </c>
      <c r="BM250" s="2">
        <v>0.65246051549911499</v>
      </c>
      <c r="BN250" s="2">
        <v>0.72579783201217696</v>
      </c>
      <c r="BO250" s="2">
        <v>0.81698596477508501</v>
      </c>
      <c r="BP250" s="2">
        <v>1.0108240842819201</v>
      </c>
    </row>
    <row r="251" spans="1:68">
      <c r="A251" s="2" t="s">
        <v>543</v>
      </c>
      <c r="B251" s="2" t="s">
        <v>544</v>
      </c>
      <c r="C251" s="2" t="s">
        <v>837</v>
      </c>
      <c r="D251" s="2" t="s">
        <v>838</v>
      </c>
      <c r="AO251" s="2">
        <v>-0.18623818457126601</v>
      </c>
      <c r="AQ251" s="2">
        <v>-0.16628775000572199</v>
      </c>
      <c r="AS251" s="2">
        <v>-0.33701217174530002</v>
      </c>
      <c r="AU251" s="2">
        <v>-0.341501384973526</v>
      </c>
      <c r="AV251" s="2">
        <v>-0.30877381563186601</v>
      </c>
      <c r="AW251" s="2">
        <v>-0.38966566324233998</v>
      </c>
      <c r="AX251" s="2">
        <v>-0.28630378842353799</v>
      </c>
      <c r="AY251" s="2">
        <v>-0.44466519355773898</v>
      </c>
      <c r="AZ251" s="2">
        <v>-0.378879934549332</v>
      </c>
      <c r="BA251" s="2">
        <v>-0.35524570941924999</v>
      </c>
      <c r="BB251" s="2">
        <v>-0.48013406991958602</v>
      </c>
      <c r="BC251" s="2">
        <v>-0.48634645342826799</v>
      </c>
      <c r="BD251" s="2">
        <v>-0.51489371061325095</v>
      </c>
      <c r="BE251" s="2">
        <v>-0.53763341903686501</v>
      </c>
      <c r="BF251" s="2">
        <v>-0.47734940052032498</v>
      </c>
      <c r="BG251" s="2">
        <v>-0.40100806951522799</v>
      </c>
      <c r="BH251" s="2">
        <v>-0.39559966325759899</v>
      </c>
      <c r="BI251" s="2">
        <v>-0.39632749557495101</v>
      </c>
      <c r="BJ251" s="2">
        <v>-0.470542252063751</v>
      </c>
      <c r="BK251" s="2">
        <v>-0.57305103540420499</v>
      </c>
      <c r="BL251" s="2">
        <v>-0.56778424978256203</v>
      </c>
      <c r="BM251" s="2">
        <v>-0.61520600318908703</v>
      </c>
      <c r="BN251" s="2">
        <v>-0.55146270990371704</v>
      </c>
      <c r="BO251" s="2">
        <v>-0.46228191256523099</v>
      </c>
      <c r="BP251" s="2">
        <v>-0.37349829077720598</v>
      </c>
    </row>
    <row r="252" spans="1:68">
      <c r="A252" s="2" t="s">
        <v>545</v>
      </c>
      <c r="B252" s="2" t="s">
        <v>546</v>
      </c>
      <c r="C252" s="2" t="s">
        <v>837</v>
      </c>
      <c r="D252" s="2" t="s">
        <v>838</v>
      </c>
      <c r="AO252" s="2">
        <v>-0.58039033412933305</v>
      </c>
      <c r="AQ252" s="2">
        <v>-0.64635747671127297</v>
      </c>
      <c r="AS252" s="2">
        <v>-0.86605125665664695</v>
      </c>
      <c r="AU252" s="2">
        <v>-0.69790112972259499</v>
      </c>
      <c r="AV252" s="2">
        <v>-0.54063761234283403</v>
      </c>
      <c r="AW252" s="2">
        <v>-0.69398593902587902</v>
      </c>
      <c r="AX252" s="2">
        <v>-0.54214787483215299</v>
      </c>
      <c r="AY252" s="2">
        <v>-0.32542666792869601</v>
      </c>
      <c r="AZ252" s="2">
        <v>-0.357663184404373</v>
      </c>
      <c r="BA252" s="2">
        <v>-0.34488222002983099</v>
      </c>
      <c r="BB252" s="2">
        <v>-0.41150686144828802</v>
      </c>
      <c r="BC252" s="2">
        <v>-0.39686957001686102</v>
      </c>
      <c r="BD252" s="2">
        <v>-0.359688609838486</v>
      </c>
      <c r="BE252" s="2">
        <v>-0.35627982020378102</v>
      </c>
      <c r="BF252" s="2">
        <v>-0.34641408920288103</v>
      </c>
      <c r="BG252" s="2">
        <v>-0.39463853836059598</v>
      </c>
      <c r="BH252" s="2">
        <v>-0.41423326730728099</v>
      </c>
      <c r="BI252" s="2">
        <v>-0.27055713534355202</v>
      </c>
      <c r="BJ252" s="2">
        <v>-0.31918042898178101</v>
      </c>
      <c r="BK252" s="2">
        <v>-0.32118967175483698</v>
      </c>
      <c r="BL252" s="2">
        <v>-0.34543102979660001</v>
      </c>
      <c r="BM252" s="2">
        <v>-0.345574200153351</v>
      </c>
      <c r="BN252" s="2">
        <v>-0.369334876537323</v>
      </c>
      <c r="BO252" s="2">
        <v>-0.37403494119644198</v>
      </c>
      <c r="BP252" s="2">
        <v>-0.47492584586143499</v>
      </c>
    </row>
    <row r="253" spans="1:68">
      <c r="A253" s="2" t="s">
        <v>547</v>
      </c>
      <c r="B253" s="2" t="s">
        <v>548</v>
      </c>
      <c r="C253" s="2" t="s">
        <v>837</v>
      </c>
      <c r="D253" s="2" t="s">
        <v>838</v>
      </c>
      <c r="AO253" s="2">
        <v>-0.82354664802551303</v>
      </c>
      <c r="AQ253" s="2">
        <v>-0.982280313968658</v>
      </c>
      <c r="AS253" s="2">
        <v>-1.0937200784683201</v>
      </c>
      <c r="AU253" s="2">
        <v>-0.84399551153182995</v>
      </c>
      <c r="AV253" s="2">
        <v>-0.82321757078170799</v>
      </c>
      <c r="AW253" s="2">
        <v>-0.77508807182312001</v>
      </c>
      <c r="AX253" s="2">
        <v>-0.80454468727111805</v>
      </c>
      <c r="AY253" s="2">
        <v>-0.82137030363082897</v>
      </c>
      <c r="AZ253" s="2">
        <v>-0.74635988473892201</v>
      </c>
      <c r="BA253" s="2">
        <v>-0.70301556587219205</v>
      </c>
      <c r="BB253" s="2">
        <v>-0.78672838211059604</v>
      </c>
      <c r="BC253" s="2">
        <v>-0.84415918588638295</v>
      </c>
      <c r="BD253" s="2">
        <v>-0.85114127397537198</v>
      </c>
      <c r="BE253" s="2">
        <v>-0.81733900308608998</v>
      </c>
      <c r="BF253" s="2">
        <v>-0.84495383501052901</v>
      </c>
      <c r="BG253" s="2">
        <v>-0.82976227998733498</v>
      </c>
      <c r="BH253" s="2">
        <v>-0.87357378005981401</v>
      </c>
      <c r="BI253" s="2">
        <v>-0.81724506616592396</v>
      </c>
      <c r="BJ253" s="2">
        <v>-0.75603193044662498</v>
      </c>
      <c r="BK253" s="2">
        <v>-0.76034188270568803</v>
      </c>
      <c r="BL253" s="2">
        <v>-0.74543553590774503</v>
      </c>
      <c r="BM253" s="2">
        <v>-0.71314436197280895</v>
      </c>
      <c r="BN253" s="2">
        <v>-0.68173831701278698</v>
      </c>
      <c r="BO253" s="2">
        <v>-0.91794794797897294</v>
      </c>
      <c r="BP253" s="2">
        <v>-0.88831740617752097</v>
      </c>
    </row>
    <row r="254" spans="1:68">
      <c r="A254" s="2" t="s">
        <v>549</v>
      </c>
      <c r="B254" s="2" t="s">
        <v>550</v>
      </c>
      <c r="C254" s="2" t="s">
        <v>837</v>
      </c>
      <c r="D254" s="2" t="s">
        <v>838</v>
      </c>
    </row>
    <row r="255" spans="1:68">
      <c r="A255" s="2" t="s">
        <v>551</v>
      </c>
      <c r="B255" s="2" t="s">
        <v>552</v>
      </c>
      <c r="C255" s="2" t="s">
        <v>837</v>
      </c>
      <c r="D255" s="2" t="s">
        <v>838</v>
      </c>
      <c r="AO255" s="2">
        <v>0.56177085638046298</v>
      </c>
      <c r="AQ255" s="2">
        <v>0.61743235588073697</v>
      </c>
      <c r="AS255" s="2">
        <v>0.55689126253128096</v>
      </c>
      <c r="AU255" s="2">
        <v>0.67429274320602395</v>
      </c>
      <c r="AV255" s="2">
        <v>0.656516373157501</v>
      </c>
      <c r="AW255" s="2">
        <v>0.45637050271034202</v>
      </c>
      <c r="AX255" s="2">
        <v>0.45884957909584001</v>
      </c>
      <c r="AY255" s="2">
        <v>0.55154734849929798</v>
      </c>
      <c r="AZ255" s="2">
        <v>0.60070478916168202</v>
      </c>
      <c r="BA255" s="2">
        <v>0.61366450786590598</v>
      </c>
      <c r="BB255" s="2">
        <v>0.75577473640441895</v>
      </c>
      <c r="BC255" s="2">
        <v>0.78679060935974099</v>
      </c>
      <c r="BD255" s="2">
        <v>0.73159444332122803</v>
      </c>
      <c r="BE255" s="2">
        <v>0.61468869447708097</v>
      </c>
      <c r="BF255" s="2">
        <v>0.57660913467407204</v>
      </c>
      <c r="BG255" s="2">
        <v>0.761607766151428</v>
      </c>
      <c r="BH255" s="2">
        <v>0.73654294013977095</v>
      </c>
      <c r="BI255" s="2">
        <v>0.61905544996261597</v>
      </c>
      <c r="BJ255" s="2">
        <v>0.55714291334152199</v>
      </c>
      <c r="BK255" s="2">
        <v>0.57074719667434703</v>
      </c>
      <c r="BL255" s="2">
        <v>0.60346806049346902</v>
      </c>
      <c r="BM255" s="2">
        <v>0.64740502834320102</v>
      </c>
      <c r="BN255" s="2">
        <v>0.69806218147277799</v>
      </c>
      <c r="BO255" s="2">
        <v>0.76794749498367298</v>
      </c>
      <c r="BP255" s="2">
        <v>0.717662572860718</v>
      </c>
    </row>
    <row r="256" spans="1:68">
      <c r="A256" s="2" t="s">
        <v>553</v>
      </c>
      <c r="B256" s="2" t="s">
        <v>554</v>
      </c>
      <c r="C256" s="2" t="s">
        <v>837</v>
      </c>
      <c r="D256" s="2" t="s">
        <v>838</v>
      </c>
      <c r="AO256" s="2">
        <v>1.5002189874648999</v>
      </c>
      <c r="AQ256" s="2">
        <v>1.56696021556854</v>
      </c>
      <c r="AS256" s="2">
        <v>1.5646328926086399</v>
      </c>
      <c r="AU256" s="2">
        <v>1.5169055461883501</v>
      </c>
      <c r="AV256" s="2">
        <v>1.55444955825806</v>
      </c>
      <c r="AW256" s="2">
        <v>1.4183044433593801</v>
      </c>
      <c r="AX256" s="2">
        <v>1.5282701253891</v>
      </c>
      <c r="AY256" s="2">
        <v>1.5926601886749301</v>
      </c>
      <c r="AZ256" s="2">
        <v>1.61114573478699</v>
      </c>
      <c r="BA256" s="2">
        <v>1.6287142038345299</v>
      </c>
      <c r="BB256" s="2">
        <v>1.59132015705109</v>
      </c>
      <c r="BC256" s="2">
        <v>1.6310222148895299</v>
      </c>
      <c r="BD256" s="2">
        <v>1.59098601341248</v>
      </c>
      <c r="BE256" s="2">
        <v>1.6203417778015099</v>
      </c>
      <c r="BF256" s="2">
        <v>1.54942762851715</v>
      </c>
      <c r="BG256" s="2">
        <v>1.6069741249084499</v>
      </c>
      <c r="BH256" s="2">
        <v>1.5630123615264899</v>
      </c>
      <c r="BI256" s="2">
        <v>1.5805974006652801</v>
      </c>
      <c r="BJ256" s="2">
        <v>1.6089793443679801</v>
      </c>
      <c r="BK256" s="2">
        <v>1.4756872653961199</v>
      </c>
      <c r="BL256" s="2">
        <v>1.4241726398468</v>
      </c>
      <c r="BM256" s="2">
        <v>1.3364937305450399</v>
      </c>
      <c r="BN256" s="2">
        <v>1.3891569375991799</v>
      </c>
      <c r="BO256" s="2">
        <v>1.36920201778412</v>
      </c>
      <c r="BP256" s="2">
        <v>1.3276778459548999</v>
      </c>
    </row>
    <row r="257" spans="1:68">
      <c r="A257" s="2" t="s">
        <v>555</v>
      </c>
      <c r="B257" s="2" t="s">
        <v>556</v>
      </c>
      <c r="C257" s="2" t="s">
        <v>837</v>
      </c>
      <c r="D257" s="2" t="s">
        <v>838</v>
      </c>
      <c r="AO257" s="2">
        <v>-1.2391786575317401</v>
      </c>
      <c r="AQ257" s="2">
        <v>-1.2574280500412001</v>
      </c>
      <c r="AS257" s="2">
        <v>-1.200798869133</v>
      </c>
      <c r="AU257" s="2">
        <v>-1.4400671720504801</v>
      </c>
      <c r="AV257" s="2">
        <v>-1.2466171979904199</v>
      </c>
      <c r="AW257" s="2">
        <v>-1.33680975437164</v>
      </c>
      <c r="AX257" s="2">
        <v>-1.47870898246765</v>
      </c>
      <c r="AY257" s="2">
        <v>-1.4535946846008301</v>
      </c>
      <c r="AZ257" s="2">
        <v>-1.2247049808502199</v>
      </c>
      <c r="BA257" s="2">
        <v>-1.1736358404159499</v>
      </c>
      <c r="BB257" s="2">
        <v>-1.3261954784393299</v>
      </c>
      <c r="BC257" s="2">
        <v>-1.41664183139801</v>
      </c>
      <c r="BD257" s="2">
        <v>-1.4524018764495801</v>
      </c>
      <c r="BE257" s="2">
        <v>-1.2992758750915501</v>
      </c>
      <c r="BF257" s="2">
        <v>-1.23550093173981</v>
      </c>
      <c r="BG257" s="2">
        <v>-1.1344530582428001</v>
      </c>
      <c r="BH257" s="2">
        <v>-1.1387138366699201</v>
      </c>
      <c r="BI257" s="2">
        <v>-1.12917804718018</v>
      </c>
      <c r="BJ257" s="2">
        <v>-1.1345919370651201</v>
      </c>
      <c r="BK257" s="2">
        <v>-1.09895992279053</v>
      </c>
      <c r="BL257" s="2">
        <v>-1.08285343647003</v>
      </c>
      <c r="BM257" s="2">
        <v>-1.1178784370422401</v>
      </c>
      <c r="BN257" s="2">
        <v>-0.92124164104461703</v>
      </c>
      <c r="BO257" s="2">
        <v>-0.85230726003646895</v>
      </c>
      <c r="BP257" s="2">
        <v>-0.83281099796295199</v>
      </c>
    </row>
    <row r="258" spans="1:68">
      <c r="A258" s="2" t="s">
        <v>557</v>
      </c>
      <c r="B258" s="2" t="s">
        <v>558</v>
      </c>
      <c r="C258" s="2" t="s">
        <v>837</v>
      </c>
      <c r="D258" s="2" t="s">
        <v>838</v>
      </c>
      <c r="AO258" s="2">
        <v>0.80914056301116899</v>
      </c>
      <c r="AQ258" s="2">
        <v>0.87650817632675204</v>
      </c>
      <c r="AS258" s="2">
        <v>0.83971226215362504</v>
      </c>
      <c r="AU258" s="2">
        <v>0.83394581079482999</v>
      </c>
      <c r="AV258" s="2">
        <v>0.83328413963317904</v>
      </c>
      <c r="AW258" s="2">
        <v>0.86656582355499301</v>
      </c>
      <c r="AX258" s="2">
        <v>0.82662987709045399</v>
      </c>
      <c r="AY258" s="2">
        <v>0.87394696474075295</v>
      </c>
      <c r="AZ258" s="2">
        <v>0.69562774896621704</v>
      </c>
      <c r="BA258" s="2">
        <v>0.96572476625442505</v>
      </c>
      <c r="BB258" s="2">
        <v>0.91862004995346103</v>
      </c>
      <c r="BC258" s="2">
        <v>0.883622527122498</v>
      </c>
      <c r="BD258" s="2">
        <v>0.96621584892272905</v>
      </c>
      <c r="BE258" s="2">
        <v>0.98782831430435203</v>
      </c>
      <c r="BF258" s="2">
        <v>0.963378965854645</v>
      </c>
      <c r="BG258" s="2">
        <v>0.61377847194671598</v>
      </c>
      <c r="BH258" s="2">
        <v>0.61648648977279696</v>
      </c>
      <c r="BI258" s="2">
        <v>0.43274605274200401</v>
      </c>
      <c r="BJ258" s="2">
        <v>0.41854524612426802</v>
      </c>
      <c r="BK258" s="2">
        <v>0.44431981444358798</v>
      </c>
      <c r="BL258" s="2">
        <v>0.45761886239051802</v>
      </c>
      <c r="BM258" s="2">
        <v>0.59664142131805398</v>
      </c>
      <c r="BN258" s="2">
        <v>0.58029299974441495</v>
      </c>
      <c r="BO258" s="2">
        <v>0.644808650016785</v>
      </c>
      <c r="BP258" s="2">
        <v>0.57221245765686002</v>
      </c>
    </row>
    <row r="259" spans="1:68">
      <c r="A259" s="2" t="s">
        <v>559</v>
      </c>
      <c r="B259" s="2" t="s">
        <v>560</v>
      </c>
      <c r="C259" s="2" t="s">
        <v>837</v>
      </c>
      <c r="D259" s="2" t="s">
        <v>838</v>
      </c>
      <c r="AO259" s="2">
        <v>-0.75019758939742998</v>
      </c>
      <c r="AQ259" s="2">
        <v>-0.70654815435409501</v>
      </c>
      <c r="AS259" s="2">
        <v>-0.86523449420928999</v>
      </c>
      <c r="AU259" s="2">
        <v>-1.15901207923889</v>
      </c>
      <c r="AV259" s="2">
        <v>-1.33635425567627</v>
      </c>
      <c r="AW259" s="2">
        <v>-1.2566487789154099</v>
      </c>
      <c r="AX259" s="2">
        <v>-1.2585139274597199</v>
      </c>
      <c r="AY259" s="2">
        <v>-1.4094444513320901</v>
      </c>
      <c r="AZ259" s="2">
        <v>-1.5704809427261399</v>
      </c>
      <c r="BA259" s="2">
        <v>-1.63578140735626</v>
      </c>
      <c r="BB259" s="2">
        <v>-1.6259524822235101</v>
      </c>
      <c r="BC259" s="2">
        <v>-1.66915047168732</v>
      </c>
      <c r="BD259" s="2">
        <v>-1.68640148639679</v>
      </c>
      <c r="BE259" s="2">
        <v>-1.71477735042572</v>
      </c>
      <c r="BF259" s="2">
        <v>-1.7861690521240201</v>
      </c>
      <c r="BG259" s="2">
        <v>-1.90949594974518</v>
      </c>
      <c r="BH259" s="2">
        <v>-2.0527765750885001</v>
      </c>
      <c r="BI259" s="2">
        <v>-2.2669451236724898</v>
      </c>
      <c r="BJ259" s="2">
        <v>-2.2592396736145002</v>
      </c>
      <c r="BK259" s="2">
        <v>-2.2655735015869101</v>
      </c>
      <c r="BL259" s="2">
        <v>-2.2594423294067401</v>
      </c>
      <c r="BM259" s="2">
        <v>-2.3319349288940399</v>
      </c>
      <c r="BN259" s="2">
        <v>-2.3008954524993901</v>
      </c>
      <c r="BO259" s="2">
        <v>-2.1981627941131601</v>
      </c>
      <c r="BP259" s="2">
        <v>-2.1515336036682098</v>
      </c>
    </row>
    <row r="260" spans="1:68">
      <c r="A260" s="2" t="s">
        <v>561</v>
      </c>
      <c r="B260" s="2" t="s">
        <v>562</v>
      </c>
      <c r="C260" s="2" t="s">
        <v>837</v>
      </c>
      <c r="D260" s="2" t="s">
        <v>838</v>
      </c>
    </row>
    <row r="261" spans="1:68">
      <c r="A261" s="2" t="s">
        <v>563</v>
      </c>
      <c r="B261" s="2" t="s">
        <v>564</v>
      </c>
      <c r="C261" s="2" t="s">
        <v>837</v>
      </c>
      <c r="D261" s="2" t="s">
        <v>838</v>
      </c>
      <c r="AW261" s="2">
        <v>1.1939382553100599</v>
      </c>
      <c r="AX261" s="2">
        <v>1.1094154119491599</v>
      </c>
      <c r="AY261" s="2">
        <v>1.0692214965820299</v>
      </c>
      <c r="AZ261" s="2">
        <v>0.82646405696868896</v>
      </c>
      <c r="BA261" s="2">
        <v>0.847226142883301</v>
      </c>
      <c r="BB261" s="2">
        <v>0.85692697763443004</v>
      </c>
      <c r="BC261" s="2">
        <v>0.84711217880249001</v>
      </c>
      <c r="BD261" s="2">
        <v>0.82974690198898304</v>
      </c>
      <c r="BE261" s="2">
        <v>0.83479428291320801</v>
      </c>
      <c r="BF261" s="2">
        <v>0.84228628873825095</v>
      </c>
      <c r="BG261" s="2">
        <v>1.95597112178802E-2</v>
      </c>
      <c r="BH261" s="2">
        <v>0.83020007610321001</v>
      </c>
      <c r="BI261" s="2">
        <v>0.57782483100891102</v>
      </c>
      <c r="BJ261" s="2">
        <v>0.57449823617935203</v>
      </c>
      <c r="BK261" s="2">
        <v>1.05668449401855</v>
      </c>
      <c r="BL261" s="2">
        <v>1.0261882543563801</v>
      </c>
      <c r="BM261" s="2">
        <v>0.87014132738113403</v>
      </c>
      <c r="BN261" s="2">
        <v>0.88711434602737405</v>
      </c>
      <c r="BO261" s="2">
        <v>0.95674878358840898</v>
      </c>
      <c r="BP261" s="2">
        <v>0.94808334112167403</v>
      </c>
    </row>
    <row r="262" spans="1:68">
      <c r="A262" s="2" t="s">
        <v>565</v>
      </c>
      <c r="B262" s="2" t="s">
        <v>566</v>
      </c>
      <c r="C262" s="2" t="s">
        <v>837</v>
      </c>
      <c r="D262" s="2" t="s">
        <v>838</v>
      </c>
      <c r="AO262" s="2">
        <v>-0.48242661356925998</v>
      </c>
      <c r="AQ262" s="2">
        <v>-0.40272137522697399</v>
      </c>
      <c r="AS262" s="2">
        <v>-0.34556254744529702</v>
      </c>
      <c r="AU262" s="2">
        <v>-0.67900162935257002</v>
      </c>
      <c r="AV262" s="2">
        <v>-0.63682353496551503</v>
      </c>
      <c r="AW262" s="2">
        <v>-0.60407108068466198</v>
      </c>
      <c r="AX262" s="2">
        <v>-0.31755369901657099</v>
      </c>
      <c r="AY262" s="2">
        <v>-0.51889884471893299</v>
      </c>
      <c r="AZ262" s="2">
        <v>-0.49020618200302102</v>
      </c>
      <c r="BA262" s="2">
        <v>-0.464453905820847</v>
      </c>
      <c r="BB262" s="2">
        <v>-0.53152966499328602</v>
      </c>
      <c r="BC262" s="2">
        <v>-0.58130490779876698</v>
      </c>
      <c r="BD262" s="2">
        <v>-0.54188078641891502</v>
      </c>
      <c r="BE262" s="2">
        <v>-0.55492377281188998</v>
      </c>
      <c r="BF262" s="2">
        <v>-0.51520979404449496</v>
      </c>
      <c r="BG262" s="2">
        <v>-0.36022844910621599</v>
      </c>
      <c r="BH262" s="2">
        <v>-0.35500451922416698</v>
      </c>
      <c r="BI262" s="2">
        <v>6.5315440297126798E-2</v>
      </c>
      <c r="BJ262" s="2">
        <v>4.0385928004980101E-2</v>
      </c>
      <c r="BK262" s="2">
        <v>-3.5467144101858097E-2</v>
      </c>
      <c r="BL262" s="2">
        <v>-5.0392884761094998E-2</v>
      </c>
      <c r="BM262" s="2">
        <v>-0.18950188159942599</v>
      </c>
      <c r="BN262" s="2">
        <v>-0.17222163081169101</v>
      </c>
      <c r="BO262" s="2">
        <v>-0.158469453454018</v>
      </c>
      <c r="BP262" s="2">
        <v>-8.5471875965595204E-2</v>
      </c>
    </row>
    <row r="263" spans="1:68">
      <c r="A263" s="2" t="s">
        <v>567</v>
      </c>
      <c r="B263" s="2" t="s">
        <v>568</v>
      </c>
      <c r="C263" s="2" t="s">
        <v>837</v>
      </c>
      <c r="D263" s="2" t="s">
        <v>838</v>
      </c>
      <c r="AO263" s="2">
        <v>0.32356095314025901</v>
      </c>
      <c r="AQ263" s="2">
        <v>0.33377996087074302</v>
      </c>
      <c r="AS263" s="2">
        <v>0.89757889509201005</v>
      </c>
      <c r="AU263" s="2">
        <v>0.89507007598876998</v>
      </c>
      <c r="AV263" s="2">
        <v>0.91113132238388095</v>
      </c>
      <c r="AW263" s="2">
        <v>0.46091315150260898</v>
      </c>
      <c r="AX263" s="2">
        <v>0.51732498407363903</v>
      </c>
      <c r="AY263" s="2">
        <v>0.56753444671630904</v>
      </c>
      <c r="AZ263" s="2">
        <v>0.59050148725509599</v>
      </c>
      <c r="BA263" s="2">
        <v>0.50977975130081199</v>
      </c>
      <c r="BB263" s="2">
        <v>0.40826770663261402</v>
      </c>
      <c r="BC263" s="2">
        <v>0.26405084133148199</v>
      </c>
      <c r="BD263" s="2">
        <v>0.29826694726943997</v>
      </c>
      <c r="BE263" s="2">
        <v>0.33575543761253401</v>
      </c>
      <c r="BF263" s="2">
        <v>0.36686336994171098</v>
      </c>
      <c r="BG263" s="2">
        <v>0.23048299551010101</v>
      </c>
      <c r="BH263" s="2">
        <v>0.12457961589098</v>
      </c>
      <c r="BI263" s="2">
        <v>0.40348619222641002</v>
      </c>
      <c r="BJ263" s="2">
        <v>0.53204655647277799</v>
      </c>
      <c r="BK263" s="2">
        <v>0.39135709404945401</v>
      </c>
      <c r="BL263" s="2">
        <v>0.210078880190849</v>
      </c>
      <c r="BM263" s="2">
        <v>0.298903048038483</v>
      </c>
      <c r="BN263" s="2">
        <v>0.44938740134239202</v>
      </c>
      <c r="BO263" s="2">
        <v>0.32218408584594699</v>
      </c>
      <c r="BP263" s="2">
        <v>0.14138053357601199</v>
      </c>
    </row>
    <row r="264" spans="1:68">
      <c r="A264" s="2" t="s">
        <v>569</v>
      </c>
      <c r="B264" s="2" t="s">
        <v>570</v>
      </c>
      <c r="C264" s="2" t="s">
        <v>837</v>
      </c>
      <c r="D264" s="2" t="s">
        <v>838</v>
      </c>
    </row>
    <row r="265" spans="1:68">
      <c r="A265" s="2" t="s">
        <v>571</v>
      </c>
      <c r="B265" s="2" t="s">
        <v>572</v>
      </c>
      <c r="C265" s="2" t="s">
        <v>837</v>
      </c>
      <c r="D265" s="2" t="s">
        <v>838</v>
      </c>
      <c r="AO265" s="2">
        <v>0.94790905714035001</v>
      </c>
      <c r="AQ265" s="2">
        <v>0.95976549386978105</v>
      </c>
      <c r="AS265" s="2">
        <v>0.97847050428390503</v>
      </c>
      <c r="AU265" s="2">
        <v>1.2597135305404701</v>
      </c>
      <c r="AV265" s="2">
        <v>1.27146780490875</v>
      </c>
      <c r="AW265" s="2">
        <v>0.98985838890075695</v>
      </c>
      <c r="AX265" s="2">
        <v>1.1104106903076201</v>
      </c>
      <c r="AY265" s="2">
        <v>0.98702573776245095</v>
      </c>
      <c r="AZ265" s="2">
        <v>0.95132493972778298</v>
      </c>
      <c r="BA265" s="2">
        <v>0.85157179832458496</v>
      </c>
      <c r="BB265" s="2">
        <v>0.66831099987029996</v>
      </c>
      <c r="BC265" s="2">
        <v>0.67911475896835305</v>
      </c>
      <c r="BD265" s="2">
        <v>0.72621685266494795</v>
      </c>
      <c r="BE265" s="2">
        <v>0.737992703914642</v>
      </c>
      <c r="BF265" s="2">
        <v>0.75380879640579201</v>
      </c>
      <c r="BG265" s="2">
        <v>0.797629594802856</v>
      </c>
      <c r="BH265" s="2">
        <v>0.74443256855010997</v>
      </c>
      <c r="BI265" s="2">
        <v>0.87190681695938099</v>
      </c>
      <c r="BJ265" s="2">
        <v>0.91792941093444802</v>
      </c>
      <c r="BK265" s="2">
        <v>0.91258561611175504</v>
      </c>
      <c r="BL265" s="2">
        <v>1.1627444028854399</v>
      </c>
      <c r="BM265" s="2">
        <v>1.01136934757233</v>
      </c>
      <c r="BN265" s="2">
        <v>0.88618230819702104</v>
      </c>
      <c r="BO265" s="2">
        <v>0.94788271188735995</v>
      </c>
      <c r="BP265" s="2">
        <v>0.90067303180694602</v>
      </c>
    </row>
    <row r="266" spans="1:68">
      <c r="A266" s="2" t="s">
        <v>573</v>
      </c>
      <c r="B266" s="2" t="s">
        <v>574</v>
      </c>
      <c r="C266" s="2" t="s">
        <v>837</v>
      </c>
      <c r="D266" s="2" t="s">
        <v>838</v>
      </c>
      <c r="AS266" s="2">
        <v>-2.38308794796467E-2</v>
      </c>
      <c r="AU266" s="2">
        <v>-6.2605440616607694E-2</v>
      </c>
      <c r="AV266" s="2">
        <v>-0.83398240804672197</v>
      </c>
      <c r="AW266" s="2">
        <v>-0.79521244764328003</v>
      </c>
      <c r="AX266" s="2">
        <v>-0.82167911529541005</v>
      </c>
      <c r="AY266" s="2">
        <v>-0.85836458206176802</v>
      </c>
      <c r="AZ266" s="2">
        <v>-0.75799912214279197</v>
      </c>
      <c r="BA266" s="2">
        <v>-0.62731027603149403</v>
      </c>
      <c r="BB266" s="2">
        <v>-0.59388971328735396</v>
      </c>
      <c r="BC266" s="2">
        <v>-0.60996919870376598</v>
      </c>
      <c r="BD266" s="2">
        <v>-0.51936054229736295</v>
      </c>
      <c r="BE266" s="2">
        <v>-0.52674198150634799</v>
      </c>
      <c r="BF266" s="2">
        <v>-0.54289144277572599</v>
      </c>
      <c r="BG266" s="2">
        <v>-0.464366585016251</v>
      </c>
      <c r="BH266" s="2">
        <v>-0.47875270247459401</v>
      </c>
      <c r="BI266" s="2">
        <v>-0.358059942722321</v>
      </c>
      <c r="BJ266" s="2">
        <v>-0.43588212132453902</v>
      </c>
      <c r="BK266" s="2">
        <v>-0.38397881388664201</v>
      </c>
      <c r="BL266" s="2">
        <v>-0.409939825534821</v>
      </c>
      <c r="BM266" s="2">
        <v>-0.40613952279090898</v>
      </c>
      <c r="BN266" s="2">
        <v>-0.30015584826469399</v>
      </c>
      <c r="BO266" s="2">
        <v>-0.36527237296104398</v>
      </c>
      <c r="BP266" s="2">
        <v>-0.311431914567947</v>
      </c>
    </row>
    <row r="267" spans="1:68">
      <c r="A267" s="2" t="s">
        <v>575</v>
      </c>
      <c r="B267" s="2" t="s">
        <v>576</v>
      </c>
      <c r="C267" s="2" t="s">
        <v>837</v>
      </c>
      <c r="D267" s="2" t="s">
        <v>838</v>
      </c>
      <c r="AO267" s="2">
        <v>-1.3797636032104501</v>
      </c>
      <c r="AQ267" s="2">
        <v>-1.3922702074050901</v>
      </c>
      <c r="AS267" s="2">
        <v>-1.45724165439606</v>
      </c>
      <c r="AU267" s="2">
        <v>-1.47391068935394</v>
      </c>
      <c r="AV267" s="2">
        <v>-1.2604101896286</v>
      </c>
      <c r="AW267" s="2">
        <v>-1.23347663879395</v>
      </c>
      <c r="AX267" s="2">
        <v>-1.2673355340957599</v>
      </c>
      <c r="AY267" s="2">
        <v>-1.03928434848785</v>
      </c>
      <c r="AZ267" s="2">
        <v>-0.96907031536102295</v>
      </c>
      <c r="BA267" s="2">
        <v>-0.98424303531646695</v>
      </c>
      <c r="BB267" s="2">
        <v>-1.0932948589325</v>
      </c>
      <c r="BC267" s="2">
        <v>-1.09233939647675</v>
      </c>
      <c r="BD267" s="2">
        <v>-1.29189229011536</v>
      </c>
      <c r="BE267" s="2">
        <v>-1.27767753601074</v>
      </c>
      <c r="BF267" s="2">
        <v>-1.18685579299927</v>
      </c>
      <c r="BG267" s="2">
        <v>-1.19622910022736</v>
      </c>
      <c r="BH267" s="2">
        <v>-1.2888668775558501</v>
      </c>
      <c r="BI267" s="2">
        <v>-1.67307960987091</v>
      </c>
      <c r="BJ267" s="2">
        <v>-1.7571113109588601</v>
      </c>
      <c r="BK267" s="2">
        <v>-1.8060263395309399</v>
      </c>
      <c r="BL267" s="2">
        <v>-1.78931891918182</v>
      </c>
      <c r="BM267" s="2">
        <v>-1.77307772636414</v>
      </c>
      <c r="BN267" s="2">
        <v>-1.80434966087341</v>
      </c>
      <c r="BO267" s="2">
        <v>-1.85193991661072</v>
      </c>
      <c r="BP267" s="2">
        <v>-1.8389762639999401</v>
      </c>
    </row>
    <row r="268" spans="1:68">
      <c r="A268" s="2" t="s">
        <v>577</v>
      </c>
      <c r="B268" s="2" t="s">
        <v>578</v>
      </c>
      <c r="C268" s="2" t="s">
        <v>837</v>
      </c>
      <c r="D268" s="2" t="s">
        <v>838</v>
      </c>
      <c r="AO268" s="2">
        <v>8.7929196655750302E-2</v>
      </c>
      <c r="AQ268" s="2">
        <v>0.157686293125153</v>
      </c>
      <c r="AS268" s="2">
        <v>0.14877229928970301</v>
      </c>
      <c r="AU268" s="2">
        <v>2.7391720563173301E-2</v>
      </c>
      <c r="AV268" s="2">
        <v>3.7599265575408901E-2</v>
      </c>
      <c r="AW268" s="2">
        <v>4.5162658207118503E-3</v>
      </c>
      <c r="AX268" s="2">
        <v>-1.19512537494302E-2</v>
      </c>
      <c r="AY268" s="2">
        <v>0.181309819221497</v>
      </c>
      <c r="AZ268" s="2">
        <v>2.5558139896020299E-4</v>
      </c>
      <c r="BA268" s="2">
        <v>5.4177613928914096E-3</v>
      </c>
      <c r="BB268" s="2">
        <v>7.2423070669174194E-2</v>
      </c>
      <c r="BC268" s="2">
        <v>9.7749456763267503E-2</v>
      </c>
      <c r="BD268" s="2">
        <v>0.12966258823871599</v>
      </c>
      <c r="BE268" s="2">
        <v>8.4444157779216794E-2</v>
      </c>
      <c r="BF268" s="2">
        <v>0.13530078530311601</v>
      </c>
      <c r="BG268" s="2">
        <v>0.155199274420738</v>
      </c>
      <c r="BH268" s="2">
        <v>1.57780386507511E-2</v>
      </c>
      <c r="BI268" s="2">
        <v>4.3559864163398701E-2</v>
      </c>
      <c r="BJ268" s="2">
        <v>-0.15624788403511</v>
      </c>
      <c r="BK268" s="2">
        <v>-0.22182808816433</v>
      </c>
      <c r="BL268" s="2">
        <v>-0.18833673000335699</v>
      </c>
      <c r="BM268" s="2">
        <v>-0.24399398267269101</v>
      </c>
      <c r="BN268" s="2">
        <v>6.4979694783687605E-2</v>
      </c>
      <c r="BO268" s="2">
        <v>4.0774784982204403E-2</v>
      </c>
      <c r="BP268" s="2">
        <v>8.6235083639621707E-2</v>
      </c>
    </row>
    <row r="269" spans="1:68">
      <c r="A269" s="2" t="s">
        <v>579</v>
      </c>
      <c r="B269" s="2" t="s">
        <v>580</v>
      </c>
      <c r="C269" s="2" t="s">
        <v>837</v>
      </c>
      <c r="D269" s="2" t="s">
        <v>838</v>
      </c>
      <c r="AO269" s="2">
        <v>-0.53171539306640603</v>
      </c>
      <c r="AQ269" s="2">
        <v>-0.46871635317802401</v>
      </c>
      <c r="AS269" s="2">
        <v>-0.53282690048217796</v>
      </c>
      <c r="AU269" s="2">
        <v>-0.34913581609726002</v>
      </c>
      <c r="AV269" s="2">
        <v>-0.38181412220001198</v>
      </c>
      <c r="AW269" s="2">
        <v>-0.47958621382713301</v>
      </c>
      <c r="AX269" s="2">
        <v>-0.51753842830658003</v>
      </c>
      <c r="AY269" s="2">
        <v>-0.54966652393341098</v>
      </c>
      <c r="AZ269" s="2">
        <v>-0.52950620651245095</v>
      </c>
      <c r="BA269" s="2">
        <v>-0.40474095940589899</v>
      </c>
      <c r="BB269" s="2">
        <v>-0.47968605160713201</v>
      </c>
      <c r="BC269" s="2">
        <v>-0.496428072452545</v>
      </c>
      <c r="BD269" s="2">
        <v>-0.45642423629760698</v>
      </c>
      <c r="BE269" s="2">
        <v>-0.360225439071655</v>
      </c>
      <c r="BF269" s="2">
        <v>-0.26214960217475902</v>
      </c>
      <c r="BG269" s="2">
        <v>-0.22469437122345001</v>
      </c>
      <c r="BH269" s="2">
        <v>-0.24275782704353299</v>
      </c>
      <c r="BI269" s="2">
        <v>-0.31230565905571001</v>
      </c>
      <c r="BJ269" s="2">
        <v>-0.33993467688560502</v>
      </c>
      <c r="BK269" s="2">
        <v>-0.35830661654472401</v>
      </c>
      <c r="BL269" s="2">
        <v>-0.473075270652771</v>
      </c>
      <c r="BM269" s="2">
        <v>-0.64821726083755504</v>
      </c>
      <c r="BN269" s="2">
        <v>-0.606375992298126</v>
      </c>
      <c r="BO269" s="2">
        <v>-0.51702350378036499</v>
      </c>
      <c r="BP269" s="2">
        <v>-0.52912741899490401</v>
      </c>
    </row>
    <row r="270" spans="1:68">
      <c r="A270" s="2" t="s">
        <v>581</v>
      </c>
      <c r="B270" s="2" t="s">
        <v>582</v>
      </c>
      <c r="C270" s="2" t="s">
        <v>837</v>
      </c>
      <c r="D270" s="2" t="s">
        <v>838</v>
      </c>
      <c r="AO270" s="2">
        <v>-0.81423848867416404</v>
      </c>
      <c r="AQ270" s="2">
        <v>-0.77431011199951205</v>
      </c>
      <c r="AS270" s="2">
        <v>-1.38190841674805</v>
      </c>
      <c r="AU270" s="2">
        <v>-1.59631824493408</v>
      </c>
      <c r="AV270" s="2">
        <v>-1.60702157020569</v>
      </c>
      <c r="AW270" s="2">
        <v>-1.68889737129211</v>
      </c>
      <c r="AX270" s="2">
        <v>-1.8349083662033101</v>
      </c>
      <c r="AY270" s="2">
        <v>-1.7516853809356701</v>
      </c>
      <c r="AZ270" s="2">
        <v>-1.8086405992507899</v>
      </c>
      <c r="BA270" s="2">
        <v>-1.7915053367614699</v>
      </c>
      <c r="BB270" s="2">
        <v>-1.8700205087661701</v>
      </c>
      <c r="BC270" s="2">
        <v>-1.8376318216323899</v>
      </c>
      <c r="BD270" s="2">
        <v>-1.7939493656158401</v>
      </c>
      <c r="BE270" s="2">
        <v>-1.6301840543746899</v>
      </c>
      <c r="BF270" s="2">
        <v>-1.5877091884612999</v>
      </c>
      <c r="BG270" s="2">
        <v>-1.4418519735336299</v>
      </c>
      <c r="BH270" s="2">
        <v>-1.33903956413269</v>
      </c>
      <c r="BI270" s="2">
        <v>-1.391646027565</v>
      </c>
      <c r="BJ270" s="2">
        <v>-1.39540266990662</v>
      </c>
      <c r="BK270" s="2">
        <v>-1.29305863380432</v>
      </c>
      <c r="BL270" s="2">
        <v>-1.3110408782959</v>
      </c>
      <c r="BM270" s="2">
        <v>-1.3373620510101301</v>
      </c>
      <c r="BN270" s="2">
        <v>-1.28212225437164</v>
      </c>
      <c r="BO270" s="2">
        <v>-1.23702752590179</v>
      </c>
      <c r="BP270" s="2">
        <v>-1.2771425247192401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data_wide_f</vt:lpstr>
      <vt:lpstr>data_ln</vt:lpstr>
      <vt:lpstr>raw</vt:lpstr>
      <vt:lpstr>Rule of Law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rafiei</dc:creator>
  <cp:lastModifiedBy>M Ashtiani</cp:lastModifiedBy>
  <dcterms:created xsi:type="dcterms:W3CDTF">2025-04-30T06:46:35Z</dcterms:created>
  <dcterms:modified xsi:type="dcterms:W3CDTF">2025-11-04T08:04:39Z</dcterms:modified>
</cp:coreProperties>
</file>